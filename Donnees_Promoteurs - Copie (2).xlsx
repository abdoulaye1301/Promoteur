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DAO ABDOULAYE\Desktop\AFRIKA LEYRI\Rapport\Promoteur\"/>
    </mc:Choice>
  </mc:AlternateContent>
  <xr:revisionPtr revIDLastSave="0" documentId="13_ncr:1_{E8C633B2-5BC5-4A0F-8922-4167081FFB9E}" xr6:coauthVersionLast="47" xr6:coauthVersionMax="47" xr10:uidLastSave="{00000000-0000-0000-0000-000000000000}"/>
  <bookViews>
    <workbookView xWindow="-98" yWindow="-98" windowWidth="19396" windowHeight="10996" xr2:uid="{00000000-000D-0000-FFFF-FFFF00000000}"/>
  </bookViews>
  <sheets>
    <sheet name="Feuil1" sheetId="2" r:id="rId1"/>
    <sheet name="Sheet1" sheetId="1" r:id="rId2"/>
  </sheets>
  <calcPr calcId="191029"/>
  <pivotCaches>
    <pivotCache cacheId="19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" i="2" l="1"/>
  <c r="B35" i="2"/>
  <c r="E35" i="2"/>
  <c r="E34" i="2"/>
  <c r="C33" i="2"/>
</calcChain>
</file>

<file path=xl/sharedStrings.xml><?xml version="1.0" encoding="utf-8"?>
<sst xmlns="http://schemas.openxmlformats.org/spreadsheetml/2006/main" count="288" uniqueCount="59">
  <si>
    <t>Date</t>
  </si>
  <si>
    <t>Telephone_Team_Leader</t>
  </si>
  <si>
    <t>tata</t>
  </si>
  <si>
    <t>team_leader</t>
  </si>
  <si>
    <t>Operation</t>
  </si>
  <si>
    <t>zone</t>
  </si>
  <si>
    <t>Prenom_Nom_Promoteur</t>
  </si>
  <si>
    <t>Precisez</t>
  </si>
  <si>
    <t>Produit</t>
  </si>
  <si>
    <t>Quantites_Cartons</t>
  </si>
  <si>
    <t>Montant</t>
  </si>
  <si>
    <t>Transport</t>
  </si>
  <si>
    <t>Stationnement</t>
  </si>
  <si>
    <t>Commentaire</t>
  </si>
  <si>
    <t>ID_Produit</t>
  </si>
  <si>
    <t>Numero_semaine</t>
  </si>
  <si>
    <t>TATA 3</t>
  </si>
  <si>
    <t>IBRAHIMA COLY</t>
  </si>
  <si>
    <t>Lait Janus 400gx10</t>
  </si>
  <si>
    <t>S18</t>
  </si>
  <si>
    <t>Kamlac Junior mais cereal 230g x 12 sachet</t>
  </si>
  <si>
    <t>Kamlac Junior mais cereal 50g x 10 x 8 sachet</t>
  </si>
  <si>
    <t>Kamlac Junior BLE cereal 50g x 10 x 8 sachet</t>
  </si>
  <si>
    <t>Chocolat 3-en-1 30x120 pcs</t>
  </si>
  <si>
    <t>Chocolat Jaune 10gx60pcsx6 boites</t>
  </si>
  <si>
    <t>Chocolat Orange 10 g x 60 pcs x 6 boites</t>
  </si>
  <si>
    <t>Kamlac Junior BLE cereal 230g x 12 sachet</t>
  </si>
  <si>
    <t>Stock Descente</t>
  </si>
  <si>
    <t>Jus Lido</t>
  </si>
  <si>
    <t>TATA 1</t>
  </si>
  <si>
    <t>DJIBRIL DIOP</t>
  </si>
  <si>
    <t>Kamlac évaporé 48x160g</t>
  </si>
  <si>
    <t>Refraish Evapore</t>
  </si>
  <si>
    <t>Lait Janus 20gx10</t>
  </si>
  <si>
    <t>Café Altimo pot 50g x 24 pcs</t>
  </si>
  <si>
    <t>Café Altimo pot 100g x 24 pcs</t>
  </si>
  <si>
    <t>Café Altimo pot 200g x 12 pcs</t>
  </si>
  <si>
    <t>Chocolat transparent 200gx24pcs</t>
  </si>
  <si>
    <t>Chocolat transparent 400gx12pcs</t>
  </si>
  <si>
    <t>Chocolat jaune 200g x 24 pcs</t>
  </si>
  <si>
    <t>Chocolat jaune 400g x 12 pcs</t>
  </si>
  <si>
    <t>Café pot Refraish 200g</t>
  </si>
  <si>
    <t>Café Refraish 100g</t>
  </si>
  <si>
    <t>Café stick Altimo 1,5gx09boites</t>
  </si>
  <si>
    <t>Meadowlite 25Kg</t>
  </si>
  <si>
    <t>Chocolat Orange 400g x12 pcs</t>
  </si>
  <si>
    <t>Café stick Refraish 1,5gx09boites</t>
  </si>
  <si>
    <t>TATA 2</t>
  </si>
  <si>
    <t>ALIOUNE BADARA (MANSOUR) SANE</t>
  </si>
  <si>
    <t>Lait Janus 18gx10</t>
  </si>
  <si>
    <t>Meadow Cup sac 25kg</t>
  </si>
  <si>
    <t>Étiquettes de lignes</t>
  </si>
  <si>
    <t>Total général</t>
  </si>
  <si>
    <t>Somme de Quantites_Cartons</t>
  </si>
  <si>
    <t>Somme de Montant</t>
  </si>
  <si>
    <t>ok</t>
  </si>
  <si>
    <t>th</t>
  </si>
  <si>
    <t>SU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</si>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</sst>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 x14ac:knownFonts="1">
    <font>
      <sz val="11"/>
      <color indexed="8"/>
      <name val="Aptos Narrow"/>
      <family val="2"/>
      <scheme val="minor"/>
    </font>
    <font>
      <sz val="11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23">
    <dxf>
      <numFmt numFmtId="4" formatCode="#,##0.00"/>
    </dxf>
    <dxf>
      <numFmt numFmtId="3" formatCode="#,##0"/>
    </dxf>
    <dxf>
      <numFmt numFmtId="166" formatCode="#,##0.0"/>
    </dxf>
    <dxf>
      <numFmt numFmtId="3" formatCode="#,##0"/>
    </dxf>
    <dxf>
      <numFmt numFmtId="166" formatCode="#,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"/>
        <scheme val="none"/>
      </font>
      <numFmt numFmtId="164" formatCode="dd\-mm\-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DAO ABDOULAYE" refreshedDate="46146.733087152781" createdVersion="8" refreshedVersion="8" minRefreshableVersion="3" recordCount="42" xr:uid="{1A8F2759-774A-40C5-8B95-8FBA2E64A328}">
  <cacheSource type="worksheet">
    <worksheetSource name="Tableau1"/>
  </cacheSource>
  <cacheFields count="16">
    <cacheField name="Date" numFmtId="164">
      <sharedItems containsSemiMixedTypes="0" containsNonDate="0" containsDate="1" containsString="0" minDate="2026-04-30T00:00:00" maxDate="2026-05-01T00:00:00"/>
    </cacheField>
    <cacheField name="Telephone_Team_Leader" numFmtId="0">
      <sharedItems containsSemiMixedTypes="0" containsString="0" containsNumber="1" containsInteger="1" minValue="0" maxValue="0"/>
    </cacheField>
    <cacheField name="tata" numFmtId="0">
      <sharedItems/>
    </cacheField>
    <cacheField name="team_leader" numFmtId="0">
      <sharedItems/>
    </cacheField>
    <cacheField name="Operation" numFmtId="0">
      <sharedItems/>
    </cacheField>
    <cacheField name="zone" numFmtId="0">
      <sharedItems containsNonDate="0" containsString="0" containsBlank="1"/>
    </cacheField>
    <cacheField name="Prenom_Nom_Promoteur" numFmtId="0">
      <sharedItems containsNonDate="0" containsString="0" containsBlank="1"/>
    </cacheField>
    <cacheField name="Precisez" numFmtId="0">
      <sharedItems containsNonDate="0" containsString="0" containsBlank="1"/>
    </cacheField>
    <cacheField name="Produit" numFmtId="0">
      <sharedItems count="27">
        <s v="Lait Janus 400gx10"/>
        <s v="Jus Lido"/>
        <s v="Chocolat 3-en-1 30x120 pcs"/>
        <s v="Chocolat Jaune 10gx60pcsx6 boites"/>
        <s v="Chocolat Orange 10 g x 60 pcs x 6 boites"/>
        <s v="Kamlac Junior BLE cereal 230g x 12 sachet"/>
        <s v="Kamlac Junior BLE cereal 50g x 10 x 8 sachet"/>
        <s v="Kamlac Junior mais cereal 230g x 12 sachet"/>
        <s v="Kamlac Junior mais cereal 50g x 10 x 8 sachet"/>
        <s v="Kamlac évaporé 48x160g"/>
        <s v="Refraish Evapore"/>
        <s v="Lait Janus 20gx10"/>
        <s v="Café Altimo pot 50g x 24 pcs"/>
        <s v="Café Altimo pot 100g x 24 pcs"/>
        <s v="Café Altimo pot 200g x 12 pcs"/>
        <s v="Chocolat transparent 200gx24pcs"/>
        <s v="Chocolat transparent 400gx12pcs"/>
        <s v="Chocolat jaune 200g x 24 pcs"/>
        <s v="Chocolat jaune 400g x 12 pcs"/>
        <s v="Café pot Refraish 200g"/>
        <s v="Café Refraish 100g"/>
        <s v="Café stick Altimo 1,5gx09boites"/>
        <s v="Meadowlite 25Kg"/>
        <s v="Chocolat Orange 400g x12 pcs"/>
        <s v="Café stick Refraish 1,5gx09boites"/>
        <s v="Lait Janus 18gx10"/>
        <s v="Meadow Cup sac 25kg"/>
      </sharedItems>
    </cacheField>
    <cacheField name="Quantites_Cartons" numFmtId="0">
      <sharedItems containsSemiMixedTypes="0" containsString="0" containsNumber="1" minValue="0.4" maxValue="78"/>
    </cacheField>
    <cacheField name="Montant" numFmtId="0">
      <sharedItems containsSemiMixedTypes="0" containsString="0" containsNumber="1" minValue="4400" maxValue="858000"/>
    </cacheField>
    <cacheField name="Transport" numFmtId="0">
      <sharedItems containsNonDate="0" containsString="0" containsBlank="1"/>
    </cacheField>
    <cacheField name="Stationnement" numFmtId="0">
      <sharedItems containsNonDate="0" containsString="0" containsBlank="1"/>
    </cacheField>
    <cacheField name="Commentaire" numFmtId="0">
      <sharedItems containsNonDate="0" containsString="0" containsBlank="1"/>
    </cacheField>
    <cacheField name="ID_Produit" numFmtId="0">
      <sharedItems containsSemiMixedTypes="0" containsString="0" containsNumber="1" containsInteger="1" minValue="9992" maxValue="10112" count="42">
        <n v="9992"/>
        <n v="9993"/>
        <n v="9994"/>
        <n v="9995"/>
        <n v="9996"/>
        <n v="9997"/>
        <n v="9998"/>
        <n v="9999"/>
        <n v="10000"/>
        <n v="10001"/>
        <n v="10002"/>
        <n v="10003"/>
        <n v="10004"/>
        <n v="10005"/>
        <n v="10006"/>
        <n v="10007"/>
        <n v="10008"/>
        <n v="10009"/>
        <n v="10010"/>
        <n v="10011"/>
        <n v="10012"/>
        <n v="10013"/>
        <n v="10014"/>
        <n v="10015"/>
        <n v="10016"/>
        <n v="10017"/>
        <n v="10097"/>
        <n v="10098"/>
        <n v="10099"/>
        <n v="10100"/>
        <n v="10101"/>
        <n v="10102"/>
        <n v="10103"/>
        <n v="10104"/>
        <n v="10105"/>
        <n v="10106"/>
        <n v="10107"/>
        <n v="10108"/>
        <n v="10109"/>
        <n v="10110"/>
        <n v="10111"/>
        <n v="10112"/>
      </sharedItems>
    </cacheField>
    <cacheField name="Numero_semain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d v="2026-04-30T00:00:00"/>
    <n v="0"/>
    <s v="TATA 3"/>
    <s v="IBRAHIMA COLY"/>
    <s v="Stock Descente"/>
    <m/>
    <m/>
    <m/>
    <x v="0"/>
    <n v="5.7"/>
    <n v="68400"/>
    <m/>
    <m/>
    <m/>
    <x v="0"/>
    <s v="S18"/>
  </r>
  <r>
    <d v="2026-04-30T00:00:00"/>
    <n v="0"/>
    <s v="TATA 3"/>
    <s v="IBRAHIMA COLY"/>
    <s v="Stock Descente"/>
    <m/>
    <m/>
    <m/>
    <x v="1"/>
    <n v="78"/>
    <n v="858000"/>
    <m/>
    <m/>
    <m/>
    <x v="1"/>
    <s v="S18"/>
  </r>
  <r>
    <d v="2026-04-30T00:00:00"/>
    <n v="0"/>
    <s v="TATA 3"/>
    <s v="IBRAHIMA COLY"/>
    <s v="Stock Descente"/>
    <m/>
    <m/>
    <m/>
    <x v="2"/>
    <n v="6.7"/>
    <n v="73700"/>
    <m/>
    <m/>
    <m/>
    <x v="2"/>
    <s v="S18"/>
  </r>
  <r>
    <d v="2026-04-30T00:00:00"/>
    <n v="0"/>
    <s v="TATA 3"/>
    <s v="IBRAHIMA COLY"/>
    <s v="Stock Descente"/>
    <m/>
    <m/>
    <m/>
    <x v="3"/>
    <n v="1.5"/>
    <n v="15000"/>
    <m/>
    <m/>
    <m/>
    <x v="3"/>
    <s v="S18"/>
  </r>
  <r>
    <d v="2026-04-30T00:00:00"/>
    <n v="0"/>
    <s v="TATA 3"/>
    <s v="IBRAHIMA COLY"/>
    <s v="Stock Descente"/>
    <m/>
    <m/>
    <m/>
    <x v="4"/>
    <n v="6.5"/>
    <n v="78000"/>
    <m/>
    <m/>
    <m/>
    <x v="4"/>
    <s v="S18"/>
  </r>
  <r>
    <d v="2026-04-30T00:00:00"/>
    <n v="0"/>
    <s v="TATA 3"/>
    <s v="IBRAHIMA COLY"/>
    <s v="Stock Descente"/>
    <m/>
    <m/>
    <m/>
    <x v="5"/>
    <n v="7"/>
    <n v="63000"/>
    <m/>
    <m/>
    <m/>
    <x v="5"/>
    <s v="S18"/>
  </r>
  <r>
    <d v="2026-04-30T00:00:00"/>
    <n v="0"/>
    <s v="TATA 3"/>
    <s v="IBRAHIMA COLY"/>
    <s v="Stock Descente"/>
    <m/>
    <m/>
    <m/>
    <x v="6"/>
    <n v="1.375"/>
    <n v="20625"/>
    <m/>
    <m/>
    <m/>
    <x v="6"/>
    <s v="S18"/>
  </r>
  <r>
    <d v="2026-04-30T00:00:00"/>
    <n v="0"/>
    <s v="TATA 3"/>
    <s v="IBRAHIMA COLY"/>
    <s v="Stock Descente"/>
    <m/>
    <m/>
    <m/>
    <x v="7"/>
    <n v="10.083333"/>
    <n v="90750"/>
    <m/>
    <m/>
    <m/>
    <x v="7"/>
    <s v="S18"/>
  </r>
  <r>
    <d v="2026-04-30T00:00:00"/>
    <n v="0"/>
    <s v="TATA 3"/>
    <s v="IBRAHIMA COLY"/>
    <s v="Stock Descente"/>
    <m/>
    <m/>
    <m/>
    <x v="8"/>
    <n v="11.5"/>
    <n v="172500"/>
    <m/>
    <m/>
    <m/>
    <x v="8"/>
    <s v="S18"/>
  </r>
  <r>
    <d v="2026-04-30T00:00:00"/>
    <n v="0"/>
    <s v="TATA 1"/>
    <s v="DJIBRIL DIOP"/>
    <s v="Stock Descente"/>
    <m/>
    <m/>
    <m/>
    <x v="9"/>
    <n v="14.5"/>
    <n v="152250"/>
    <m/>
    <m/>
    <m/>
    <x v="9"/>
    <s v="S18"/>
  </r>
  <r>
    <d v="2026-04-30T00:00:00"/>
    <n v="0"/>
    <s v="TATA 1"/>
    <s v="DJIBRIL DIOP"/>
    <s v="Stock Descente"/>
    <m/>
    <m/>
    <m/>
    <x v="10"/>
    <n v="1"/>
    <n v="10500"/>
    <m/>
    <m/>
    <m/>
    <x v="10"/>
    <s v="S18"/>
  </r>
  <r>
    <d v="2026-04-30T00:00:00"/>
    <n v="0"/>
    <s v="TATA 1"/>
    <s v="DJIBRIL DIOP"/>
    <s v="Stock Descente"/>
    <m/>
    <m/>
    <m/>
    <x v="11"/>
    <n v="5"/>
    <n v="32500"/>
    <m/>
    <m/>
    <m/>
    <x v="11"/>
    <s v="S18"/>
  </r>
  <r>
    <d v="2026-04-30T00:00:00"/>
    <n v="0"/>
    <s v="TATA 1"/>
    <s v="DJIBRIL DIOP"/>
    <s v="Stock Descente"/>
    <m/>
    <m/>
    <m/>
    <x v="0"/>
    <n v="27"/>
    <n v="324000"/>
    <m/>
    <m/>
    <m/>
    <x v="12"/>
    <s v="S18"/>
  </r>
  <r>
    <d v="2026-04-30T00:00:00"/>
    <n v="0"/>
    <s v="TATA 1"/>
    <s v="DJIBRIL DIOP"/>
    <s v="Stock Descente"/>
    <m/>
    <m/>
    <m/>
    <x v="12"/>
    <n v="2.75"/>
    <n v="48125"/>
    <m/>
    <m/>
    <m/>
    <x v="13"/>
    <s v="S18"/>
  </r>
  <r>
    <d v="2026-04-30T00:00:00"/>
    <n v="0"/>
    <s v="TATA 1"/>
    <s v="DJIBRIL DIOP"/>
    <s v="Stock Descente"/>
    <m/>
    <m/>
    <m/>
    <x v="13"/>
    <n v="2.625"/>
    <n v="87937.5"/>
    <m/>
    <m/>
    <m/>
    <x v="14"/>
    <s v="S18"/>
  </r>
  <r>
    <d v="2026-04-30T00:00:00"/>
    <n v="0"/>
    <s v="TATA 1"/>
    <s v="DJIBRIL DIOP"/>
    <s v="Stock Descente"/>
    <m/>
    <m/>
    <m/>
    <x v="14"/>
    <n v="3"/>
    <n v="100500"/>
    <m/>
    <m/>
    <m/>
    <x v="15"/>
    <s v="S18"/>
  </r>
  <r>
    <d v="2026-04-30T00:00:00"/>
    <n v="0"/>
    <s v="TATA 1"/>
    <s v="DJIBRIL DIOP"/>
    <s v="Stock Descente"/>
    <m/>
    <m/>
    <m/>
    <x v="15"/>
    <n v="9.4166670000000003"/>
    <n v="117708.336"/>
    <m/>
    <m/>
    <m/>
    <x v="16"/>
    <s v="S18"/>
  </r>
  <r>
    <d v="2026-04-30T00:00:00"/>
    <n v="0"/>
    <s v="TATA 1"/>
    <s v="DJIBRIL DIOP"/>
    <s v="Stock Descente"/>
    <m/>
    <m/>
    <m/>
    <x v="16"/>
    <n v="5"/>
    <n v="62500"/>
    <m/>
    <m/>
    <m/>
    <x v="17"/>
    <s v="S18"/>
  </r>
  <r>
    <d v="2026-04-30T00:00:00"/>
    <n v="0"/>
    <s v="TATA 1"/>
    <s v="DJIBRIL DIOP"/>
    <s v="Stock Descente"/>
    <m/>
    <m/>
    <m/>
    <x v="17"/>
    <n v="10"/>
    <n v="155000"/>
    <m/>
    <m/>
    <m/>
    <x v="18"/>
    <s v="S18"/>
  </r>
  <r>
    <d v="2026-04-30T00:00:00"/>
    <n v="0"/>
    <s v="TATA 1"/>
    <s v="DJIBRIL DIOP"/>
    <s v="Stock Descente"/>
    <m/>
    <m/>
    <m/>
    <x v="18"/>
    <n v="2"/>
    <n v="31000"/>
    <m/>
    <m/>
    <m/>
    <x v="19"/>
    <s v="S18"/>
  </r>
  <r>
    <d v="2026-04-30T00:00:00"/>
    <n v="0"/>
    <s v="TATA 1"/>
    <s v="DJIBRIL DIOP"/>
    <s v="Stock Descente"/>
    <m/>
    <m/>
    <m/>
    <x v="19"/>
    <n v="11.5"/>
    <n v="224250"/>
    <m/>
    <m/>
    <m/>
    <x v="20"/>
    <s v="S18"/>
  </r>
  <r>
    <d v="2026-04-30T00:00:00"/>
    <n v="0"/>
    <s v="TATA 1"/>
    <s v="DJIBRIL DIOP"/>
    <s v="Stock Descente"/>
    <m/>
    <m/>
    <m/>
    <x v="20"/>
    <n v="10"/>
    <n v="260000"/>
    <m/>
    <m/>
    <m/>
    <x v="21"/>
    <s v="S18"/>
  </r>
  <r>
    <d v="2026-04-30T00:00:00"/>
    <n v="0"/>
    <s v="TATA 1"/>
    <s v="DJIBRIL DIOP"/>
    <s v="Stock Descente"/>
    <m/>
    <m/>
    <m/>
    <x v="21"/>
    <n v="5.6666664999999998"/>
    <n v="158666.67000000001"/>
    <m/>
    <m/>
    <m/>
    <x v="22"/>
    <s v="S18"/>
  </r>
  <r>
    <d v="2026-04-30T00:00:00"/>
    <n v="0"/>
    <s v="TATA 1"/>
    <s v="DJIBRIL DIOP"/>
    <s v="Stock Descente"/>
    <m/>
    <m/>
    <m/>
    <x v="2"/>
    <n v="0.4"/>
    <n v="4400"/>
    <m/>
    <m/>
    <m/>
    <x v="23"/>
    <s v="S18"/>
  </r>
  <r>
    <d v="2026-04-30T00:00:00"/>
    <n v="0"/>
    <s v="TATA 1"/>
    <s v="DJIBRIL DIOP"/>
    <s v="Stock Descente"/>
    <m/>
    <m/>
    <m/>
    <x v="22"/>
    <n v="13"/>
    <n v="702000"/>
    <m/>
    <m/>
    <m/>
    <x v="24"/>
    <s v="S18"/>
  </r>
  <r>
    <d v="2026-04-30T00:00:00"/>
    <n v="0"/>
    <s v="TATA 1"/>
    <s v="DJIBRIL DIOP"/>
    <s v="Stock Descente"/>
    <m/>
    <m/>
    <m/>
    <x v="23"/>
    <n v="0.58333330000000005"/>
    <n v="10500"/>
    <m/>
    <m/>
    <m/>
    <x v="25"/>
    <s v="S18"/>
  </r>
  <r>
    <d v="2026-04-30T00:00:00"/>
    <n v="0"/>
    <s v="TATA 2"/>
    <s v="ALIOUNE BADARA (MANSOUR) SANE"/>
    <s v="Stock Descente"/>
    <m/>
    <m/>
    <m/>
    <x v="24"/>
    <n v="8.444445"/>
    <n v="219555.56"/>
    <m/>
    <m/>
    <m/>
    <x v="26"/>
    <s v="S18"/>
  </r>
  <r>
    <d v="2026-04-30T00:00:00"/>
    <n v="0"/>
    <s v="TATA 2"/>
    <s v="ALIOUNE BADARA (MANSOUR) SANE"/>
    <s v="Stock Descente"/>
    <m/>
    <m/>
    <m/>
    <x v="20"/>
    <n v="10"/>
    <n v="260000"/>
    <m/>
    <m/>
    <m/>
    <x v="27"/>
    <s v="S18"/>
  </r>
  <r>
    <d v="2026-04-30T00:00:00"/>
    <n v="0"/>
    <s v="TATA 2"/>
    <s v="ALIOUNE BADARA (MANSOUR) SANE"/>
    <s v="Stock Descente"/>
    <m/>
    <m/>
    <m/>
    <x v="19"/>
    <n v="19"/>
    <n v="370500"/>
    <m/>
    <m/>
    <m/>
    <x v="28"/>
    <s v="S18"/>
  </r>
  <r>
    <d v="2026-04-30T00:00:00"/>
    <n v="0"/>
    <s v="TATA 2"/>
    <s v="ALIOUNE BADARA (MANSOUR) SANE"/>
    <s v="Stock Descente"/>
    <m/>
    <m/>
    <m/>
    <x v="21"/>
    <n v="0.55555560000000004"/>
    <n v="15555.556"/>
    <m/>
    <m/>
    <m/>
    <x v="29"/>
    <s v="S18"/>
  </r>
  <r>
    <d v="2026-04-30T00:00:00"/>
    <n v="0"/>
    <s v="TATA 2"/>
    <s v="ALIOUNE BADARA (MANSOUR) SANE"/>
    <s v="Stock Descente"/>
    <m/>
    <m/>
    <m/>
    <x v="12"/>
    <n v="11"/>
    <n v="192500"/>
    <m/>
    <m/>
    <m/>
    <x v="30"/>
    <s v="S18"/>
  </r>
  <r>
    <d v="2026-04-30T00:00:00"/>
    <n v="0"/>
    <s v="TATA 2"/>
    <s v="ALIOUNE BADARA (MANSOUR) SANE"/>
    <s v="Stock Descente"/>
    <m/>
    <m/>
    <m/>
    <x v="13"/>
    <n v="15.875"/>
    <n v="531812.5"/>
    <m/>
    <m/>
    <m/>
    <x v="31"/>
    <s v="S18"/>
  </r>
  <r>
    <d v="2026-04-30T00:00:00"/>
    <n v="0"/>
    <s v="TATA 2"/>
    <s v="ALIOUNE BADARA (MANSOUR) SANE"/>
    <s v="Stock Descente"/>
    <m/>
    <m/>
    <m/>
    <x v="14"/>
    <n v="12.166667"/>
    <n v="407583.34"/>
    <m/>
    <m/>
    <m/>
    <x v="32"/>
    <s v="S18"/>
  </r>
  <r>
    <d v="2026-04-30T00:00:00"/>
    <n v="0"/>
    <s v="TATA 2"/>
    <s v="ALIOUNE BADARA (MANSOUR) SANE"/>
    <s v="Stock Descente"/>
    <m/>
    <m/>
    <m/>
    <x v="9"/>
    <n v="47.5"/>
    <n v="498750"/>
    <m/>
    <m/>
    <m/>
    <x v="33"/>
    <s v="S18"/>
  </r>
  <r>
    <d v="2026-04-30T00:00:00"/>
    <n v="0"/>
    <s v="TATA 2"/>
    <s v="ALIOUNE BADARA (MANSOUR) SANE"/>
    <s v="Stock Descente"/>
    <m/>
    <m/>
    <m/>
    <x v="10"/>
    <n v="15"/>
    <n v="157500"/>
    <m/>
    <m/>
    <m/>
    <x v="34"/>
    <s v="S18"/>
  </r>
  <r>
    <d v="2026-04-30T00:00:00"/>
    <n v="0"/>
    <s v="TATA 2"/>
    <s v="ALIOUNE BADARA (MANSOUR) SANE"/>
    <s v="Stock Descente"/>
    <m/>
    <m/>
    <m/>
    <x v="25"/>
    <n v="20.5"/>
    <n v="123000"/>
    <m/>
    <m/>
    <m/>
    <x v="35"/>
    <s v="S18"/>
  </r>
  <r>
    <d v="2026-04-30T00:00:00"/>
    <n v="0"/>
    <s v="TATA 2"/>
    <s v="ALIOUNE BADARA (MANSOUR) SANE"/>
    <s v="Stock Descente"/>
    <m/>
    <m/>
    <m/>
    <x v="22"/>
    <n v="11"/>
    <n v="594000"/>
    <m/>
    <m/>
    <m/>
    <x v="36"/>
    <s v="S18"/>
  </r>
  <r>
    <d v="2026-04-30T00:00:00"/>
    <n v="0"/>
    <s v="TATA 2"/>
    <s v="ALIOUNE BADARA (MANSOUR) SANE"/>
    <s v="Stock Descente"/>
    <m/>
    <m/>
    <m/>
    <x v="26"/>
    <n v="3"/>
    <n v="162000"/>
    <m/>
    <m/>
    <m/>
    <x v="37"/>
    <s v="S18"/>
  </r>
  <r>
    <d v="2026-04-30T00:00:00"/>
    <n v="0"/>
    <s v="TATA 2"/>
    <s v="ALIOUNE BADARA (MANSOUR) SANE"/>
    <s v="Stock Descente"/>
    <m/>
    <m/>
    <m/>
    <x v="15"/>
    <n v="19"/>
    <n v="237500"/>
    <m/>
    <m/>
    <m/>
    <x v="38"/>
    <s v="S18"/>
  </r>
  <r>
    <d v="2026-04-30T00:00:00"/>
    <n v="0"/>
    <s v="TATA 2"/>
    <s v="ALIOUNE BADARA (MANSOUR) SANE"/>
    <s v="Stock Descente"/>
    <m/>
    <m/>
    <m/>
    <x v="16"/>
    <n v="7.5"/>
    <n v="93750"/>
    <m/>
    <m/>
    <m/>
    <x v="39"/>
    <s v="S18"/>
  </r>
  <r>
    <d v="2026-04-30T00:00:00"/>
    <n v="0"/>
    <s v="TATA 2"/>
    <s v="ALIOUNE BADARA (MANSOUR) SANE"/>
    <s v="Stock Descente"/>
    <m/>
    <m/>
    <m/>
    <x v="17"/>
    <n v="14.5"/>
    <n v="224750"/>
    <m/>
    <m/>
    <m/>
    <x v="40"/>
    <s v="S18"/>
  </r>
  <r>
    <d v="2026-04-30T00:00:00"/>
    <n v="0"/>
    <s v="TATA 2"/>
    <s v="ALIOUNE BADARA (MANSOUR) SANE"/>
    <s v="Stock Descente"/>
    <m/>
    <m/>
    <m/>
    <x v="18"/>
    <n v="12.5"/>
    <n v="193750"/>
    <m/>
    <m/>
    <m/>
    <x v="41"/>
    <s v="S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2FED05-7209-435F-A64F-25ED00A3DA64}" name="Tableau croisé dynamique1" cacheId="19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C31" firstHeaderRow="0" firstDataRow="1" firstDataCol="1"/>
  <pivotFields count="16">
    <pivotField numFmtId="16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8">
        <item x="13"/>
        <item x="14"/>
        <item x="12"/>
        <item x="19"/>
        <item x="20"/>
        <item x="21"/>
        <item x="24"/>
        <item x="2"/>
        <item x="3"/>
        <item x="17"/>
        <item x="18"/>
        <item x="4"/>
        <item x="23"/>
        <item x="15"/>
        <item x="16"/>
        <item x="1"/>
        <item x="9"/>
        <item x="5"/>
        <item x="6"/>
        <item x="7"/>
        <item x="8"/>
        <item x="25"/>
        <item x="11"/>
        <item x="0"/>
        <item x="26"/>
        <item x="22"/>
        <item x="10"/>
        <item t="default"/>
      </items>
    </pivotField>
    <pivotField dataField="1" showAll="0"/>
    <pivotField dataField="1" showAll="0"/>
    <pivotField showAll="0"/>
    <pivotField showAll="0"/>
    <pivotField showAll="0"/>
    <pivotField showAll="0">
      <items count="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showAll="0"/>
  </pivotFields>
  <rowFields count="1">
    <field x="8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Quantites_Cartons" fld="9" baseField="0" baseItem="0"/>
    <dataField name="Somme de Montant" fld="10" baseField="0" baseItem="0"/>
  </dataFields>
  <formats count="3">
    <format dxfId="4">
      <pivotArea collapsedLevelsAreSubtotals="1" fieldPosition="0">
        <references count="1">
          <reference field="8" count="0"/>
        </references>
      </pivotArea>
    </format>
    <format dxfId="2">
      <pivotArea grandRow="1" outline="0" collapsedLevelsAreSubtotals="1" fieldPosition="0"/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8DB0E0-0D5C-4334-90A0-6834F54D0A5B}" name="Tableau1" displayName="Tableau1" ref="A1:P43" totalsRowShown="0" headerRowDxfId="5" dataDxfId="6">
  <autoFilter ref="A1:P43" xr:uid="{9C8DB0E0-0D5C-4334-90A0-6834F54D0A5B}"/>
  <tableColumns count="16">
    <tableColumn id="1" xr3:uid="{AAF43FBE-6945-4977-A48E-F01382EA5B1A}" name="Date" dataDxfId="22"/>
    <tableColumn id="2" xr3:uid="{1FD5535D-6E51-484A-85EB-0700CF92470C}" name="Telephone_Team_Leader" dataDxfId="21"/>
    <tableColumn id="3" xr3:uid="{57A10CD2-F4B8-47DE-BCAE-3AE69F516813}" name="tata" dataDxfId="20"/>
    <tableColumn id="4" xr3:uid="{C881D68F-13F9-4B54-9680-873404DCD681}" name="team_leader" dataDxfId="19"/>
    <tableColumn id="5" xr3:uid="{F10E38B5-E28D-46C8-A794-64F12C9DA81B}" name="Operation" dataDxfId="18"/>
    <tableColumn id="6" xr3:uid="{1888E129-EB6D-4C3C-8DBF-DE9C9916B142}" name="zone" dataDxfId="17"/>
    <tableColumn id="7" xr3:uid="{39870AC6-77A6-4BED-9BD0-D8BB14BA8D4E}" name="Prenom_Nom_Promoteur" dataDxfId="16"/>
    <tableColumn id="8" xr3:uid="{5961BDE9-756D-4B9A-AD66-84B2D6D73887}" name="Precisez" dataDxfId="15"/>
    <tableColumn id="9" xr3:uid="{3859855B-5C27-4674-8621-9E3B1C7B9C78}" name="Produit" dataDxfId="14"/>
    <tableColumn id="10" xr3:uid="{808D96B4-B49F-41B9-90D9-B5F9909A7E76}" name="Quantites_Cartons" dataDxfId="13"/>
    <tableColumn id="11" xr3:uid="{B7797010-1515-4FDD-BE36-A2D2DE08625D}" name="Montant" dataDxfId="12"/>
    <tableColumn id="12" xr3:uid="{74E0D10D-4BB8-478C-9947-645C1645D73C}" name="Transport" dataDxfId="11"/>
    <tableColumn id="13" xr3:uid="{5B465AEA-15D8-4F63-A87E-8BACBD0D4F74}" name="Stationnement" dataDxfId="10"/>
    <tableColumn id="14" xr3:uid="{F51A20FA-2B1F-47D3-9598-B825671E6087}" name="Commentaire" dataDxfId="9"/>
    <tableColumn id="15" xr3:uid="{D66E0C98-D2DF-447E-A41B-9624F92828E2}" name="ID_Produit" dataDxfId="8"/>
    <tableColumn id="16" xr3:uid="{A2C77E9D-0270-45B7-93B2-1814B47514D2}" name="Numero_semaine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F2ECD-1391-435F-AD7C-D1459FCD7AA2}">
  <dimension ref="A3:G36"/>
  <sheetViews>
    <sheetView tabSelected="1" topLeftCell="A14" workbookViewId="0">
      <selection activeCell="B37" sqref="B37"/>
    </sheetView>
  </sheetViews>
  <sheetFormatPr baseColWidth="10" defaultRowHeight="14.25" x14ac:dyDescent="0.45"/>
  <cols>
    <col min="1" max="1" width="35.796875" bestFit="1" customWidth="1"/>
    <col min="2" max="2" width="24.46484375" bestFit="1" customWidth="1"/>
    <col min="3" max="3" width="16.1328125" bestFit="1" customWidth="1"/>
  </cols>
  <sheetData>
    <row r="3" spans="1:6" x14ac:dyDescent="0.45">
      <c r="A3" s="3" t="s">
        <v>51</v>
      </c>
      <c r="B3" t="s">
        <v>53</v>
      </c>
      <c r="C3" t="s">
        <v>54</v>
      </c>
      <c r="E3" t="s">
        <v>56</v>
      </c>
      <c r="F3" t="s">
        <v>57</v>
      </c>
    </row>
    <row r="4" spans="1:6" x14ac:dyDescent="0.45">
      <c r="A4" s="4" t="s">
        <v>35</v>
      </c>
      <c r="B4" s="6">
        <v>18.5</v>
      </c>
      <c r="C4" s="6">
        <v>619750</v>
      </c>
      <c r="D4" t="s">
        <v>55</v>
      </c>
      <c r="F4" s="5"/>
    </row>
    <row r="5" spans="1:6" x14ac:dyDescent="0.45">
      <c r="A5" s="4" t="s">
        <v>36</v>
      </c>
      <c r="B5" s="6">
        <v>15.166667</v>
      </c>
      <c r="C5" s="6">
        <v>508083.34</v>
      </c>
      <c r="D5" t="s">
        <v>55</v>
      </c>
      <c r="F5" s="5"/>
    </row>
    <row r="6" spans="1:6" x14ac:dyDescent="0.45">
      <c r="A6" s="4" t="s">
        <v>34</v>
      </c>
      <c r="B6" s="6">
        <v>13.75</v>
      </c>
      <c r="C6" s="6">
        <v>240625</v>
      </c>
      <c r="D6" t="s">
        <v>58</v>
      </c>
      <c r="F6" s="5"/>
    </row>
    <row r="7" spans="1:6" x14ac:dyDescent="0.45">
      <c r="A7" s="4" t="s">
        <v>41</v>
      </c>
      <c r="B7" s="6">
        <v>30.5</v>
      </c>
      <c r="C7" s="6">
        <v>594750</v>
      </c>
      <c r="D7" t="s">
        <v>58</v>
      </c>
      <c r="F7" s="5"/>
    </row>
    <row r="8" spans="1:6" x14ac:dyDescent="0.45">
      <c r="A8" s="4" t="s">
        <v>42</v>
      </c>
      <c r="B8" s="6">
        <v>20</v>
      </c>
      <c r="C8" s="6">
        <v>520000</v>
      </c>
      <c r="D8" t="s">
        <v>58</v>
      </c>
      <c r="F8" s="5"/>
    </row>
    <row r="9" spans="1:6" x14ac:dyDescent="0.45">
      <c r="A9" s="4" t="s">
        <v>43</v>
      </c>
      <c r="B9" s="6">
        <v>6.2222220999999998</v>
      </c>
      <c r="C9" s="6">
        <v>174222.22600000002</v>
      </c>
      <c r="D9" t="s">
        <v>58</v>
      </c>
      <c r="F9" s="5"/>
    </row>
    <row r="10" spans="1:6" x14ac:dyDescent="0.45">
      <c r="A10" s="4" t="s">
        <v>46</v>
      </c>
      <c r="B10" s="6">
        <v>8.444445</v>
      </c>
      <c r="C10" s="6">
        <v>219555.56</v>
      </c>
      <c r="D10" t="s">
        <v>58</v>
      </c>
      <c r="F10" s="5"/>
    </row>
    <row r="11" spans="1:6" x14ac:dyDescent="0.45">
      <c r="A11" s="4" t="s">
        <v>23</v>
      </c>
      <c r="B11" s="6">
        <v>7.1000000000000005</v>
      </c>
      <c r="C11" s="6">
        <v>78100</v>
      </c>
      <c r="D11" t="s">
        <v>58</v>
      </c>
      <c r="F11" s="5"/>
    </row>
    <row r="12" spans="1:6" x14ac:dyDescent="0.45">
      <c r="A12" s="4" t="s">
        <v>24</v>
      </c>
      <c r="B12" s="6">
        <v>1.5</v>
      </c>
      <c r="C12" s="6">
        <v>15000</v>
      </c>
      <c r="D12" t="s">
        <v>58</v>
      </c>
      <c r="F12" s="5"/>
    </row>
    <row r="13" spans="1:6" x14ac:dyDescent="0.45">
      <c r="A13" s="4" t="s">
        <v>39</v>
      </c>
      <c r="B13" s="6">
        <v>24.5</v>
      </c>
      <c r="C13" s="6">
        <v>379750</v>
      </c>
      <c r="D13" t="s">
        <v>58</v>
      </c>
      <c r="F13" s="5"/>
    </row>
    <row r="14" spans="1:6" x14ac:dyDescent="0.45">
      <c r="A14" s="4" t="s">
        <v>40</v>
      </c>
      <c r="B14" s="6">
        <v>14.5</v>
      </c>
      <c r="C14" s="6">
        <v>224750</v>
      </c>
      <c r="D14" t="s">
        <v>58</v>
      </c>
      <c r="F14" s="5"/>
    </row>
    <row r="15" spans="1:6" x14ac:dyDescent="0.45">
      <c r="A15" s="4" t="s">
        <v>25</v>
      </c>
      <c r="B15" s="6">
        <v>6.5</v>
      </c>
      <c r="C15" s="6">
        <v>78000</v>
      </c>
      <c r="D15" t="s">
        <v>58</v>
      </c>
      <c r="F15" s="5"/>
    </row>
    <row r="16" spans="1:6" x14ac:dyDescent="0.45">
      <c r="A16" s="4" t="s">
        <v>45</v>
      </c>
      <c r="B16" s="6">
        <v>0.58333330000000005</v>
      </c>
      <c r="C16" s="6">
        <v>10500</v>
      </c>
      <c r="D16" t="s">
        <v>58</v>
      </c>
      <c r="F16" s="5"/>
    </row>
    <row r="17" spans="1:7" x14ac:dyDescent="0.45">
      <c r="A17" s="4" t="s">
        <v>37</v>
      </c>
      <c r="B17" s="6">
        <v>28.416667</v>
      </c>
      <c r="C17" s="6">
        <v>355208.33600000001</v>
      </c>
      <c r="D17" t="s">
        <v>58</v>
      </c>
      <c r="F17" s="5"/>
    </row>
    <row r="18" spans="1:7" x14ac:dyDescent="0.45">
      <c r="A18" s="4" t="s">
        <v>38</v>
      </c>
      <c r="B18" s="6">
        <v>12.5</v>
      </c>
      <c r="C18" s="6">
        <v>156250</v>
      </c>
      <c r="D18" t="s">
        <v>58</v>
      </c>
      <c r="E18" t="s">
        <v>58</v>
      </c>
      <c r="F18" s="5">
        <v>144792</v>
      </c>
    </row>
    <row r="19" spans="1:7" x14ac:dyDescent="0.45">
      <c r="A19" s="4" t="s">
        <v>28</v>
      </c>
      <c r="B19" s="6">
        <v>78</v>
      </c>
      <c r="C19" s="6">
        <v>858000</v>
      </c>
      <c r="D19" t="s">
        <v>58</v>
      </c>
      <c r="F19" s="5"/>
    </row>
    <row r="20" spans="1:7" x14ac:dyDescent="0.45">
      <c r="A20" s="4" t="s">
        <v>31</v>
      </c>
      <c r="B20" s="6">
        <v>62</v>
      </c>
      <c r="C20" s="6">
        <v>651000</v>
      </c>
      <c r="D20" t="s">
        <v>58</v>
      </c>
      <c r="F20" s="5"/>
    </row>
    <row r="21" spans="1:7" x14ac:dyDescent="0.45">
      <c r="A21" s="4" t="s">
        <v>26</v>
      </c>
      <c r="B21" s="6">
        <v>7</v>
      </c>
      <c r="C21" s="6">
        <v>63000</v>
      </c>
      <c r="D21" t="s">
        <v>58</v>
      </c>
      <c r="F21" s="5"/>
    </row>
    <row r="22" spans="1:7" x14ac:dyDescent="0.45">
      <c r="A22" s="4" t="s">
        <v>22</v>
      </c>
      <c r="B22" s="6">
        <v>1.375</v>
      </c>
      <c r="C22" s="6">
        <v>20625</v>
      </c>
      <c r="D22" t="s">
        <v>58</v>
      </c>
      <c r="E22" t="s">
        <v>58</v>
      </c>
      <c r="F22" s="5">
        <v>21525</v>
      </c>
    </row>
    <row r="23" spans="1:7" x14ac:dyDescent="0.45">
      <c r="A23" s="4" t="s">
        <v>20</v>
      </c>
      <c r="B23" s="6">
        <v>10.083333</v>
      </c>
      <c r="C23" s="6">
        <v>90750</v>
      </c>
      <c r="D23">
        <v>-9000</v>
      </c>
      <c r="F23" s="5">
        <v>81750</v>
      </c>
      <c r="G23">
        <v>9</v>
      </c>
    </row>
    <row r="24" spans="1:7" x14ac:dyDescent="0.45">
      <c r="A24" s="4" t="s">
        <v>21</v>
      </c>
      <c r="B24" s="6">
        <v>11.5</v>
      </c>
      <c r="C24" s="6">
        <v>172500</v>
      </c>
      <c r="D24" t="s">
        <v>58</v>
      </c>
      <c r="F24" s="5"/>
    </row>
    <row r="25" spans="1:7" x14ac:dyDescent="0.45">
      <c r="A25" s="4" t="s">
        <v>49</v>
      </c>
      <c r="B25" s="6">
        <v>20.5</v>
      </c>
      <c r="C25" s="6">
        <v>123000</v>
      </c>
      <c r="D25" t="s">
        <v>58</v>
      </c>
      <c r="F25" s="5"/>
    </row>
    <row r="26" spans="1:7" x14ac:dyDescent="0.45">
      <c r="A26" s="4" t="s">
        <v>33</v>
      </c>
      <c r="B26" s="6">
        <v>5</v>
      </c>
      <c r="C26" s="6">
        <v>32500</v>
      </c>
      <c r="D26">
        <v>30000</v>
      </c>
      <c r="E26" t="s">
        <v>58</v>
      </c>
      <c r="F26" s="5" t="s">
        <v>58</v>
      </c>
    </row>
    <row r="27" spans="1:7" x14ac:dyDescent="0.45">
      <c r="A27" s="4" t="s">
        <v>18</v>
      </c>
      <c r="B27" s="6">
        <v>32.700000000000003</v>
      </c>
      <c r="C27" s="6">
        <v>392400</v>
      </c>
      <c r="D27" t="s">
        <v>58</v>
      </c>
      <c r="F27" s="5"/>
    </row>
    <row r="28" spans="1:7" x14ac:dyDescent="0.45">
      <c r="A28" s="4" t="s">
        <v>50</v>
      </c>
      <c r="B28" s="6">
        <v>3</v>
      </c>
      <c r="C28" s="6">
        <v>162000</v>
      </c>
      <c r="D28" t="s">
        <v>58</v>
      </c>
      <c r="F28" s="5"/>
    </row>
    <row r="29" spans="1:7" x14ac:dyDescent="0.45">
      <c r="A29" s="4" t="s">
        <v>44</v>
      </c>
      <c r="B29" s="6">
        <v>24</v>
      </c>
      <c r="C29" s="6">
        <v>1296000</v>
      </c>
      <c r="D29" t="s">
        <v>58</v>
      </c>
      <c r="F29" s="5"/>
    </row>
    <row r="30" spans="1:7" x14ac:dyDescent="0.45">
      <c r="A30" s="4" t="s">
        <v>32</v>
      </c>
      <c r="B30" s="6">
        <v>16</v>
      </c>
      <c r="C30" s="6">
        <v>168000</v>
      </c>
      <c r="D30" t="s">
        <v>58</v>
      </c>
      <c r="F30" s="5"/>
    </row>
    <row r="31" spans="1:7" x14ac:dyDescent="0.45">
      <c r="A31" s="4" t="s">
        <v>52</v>
      </c>
      <c r="B31" s="6">
        <v>479.34166739999995</v>
      </c>
      <c r="C31" s="6">
        <v>8204319.4619999994</v>
      </c>
      <c r="F31" s="5"/>
    </row>
    <row r="33" spans="2:6" x14ac:dyDescent="0.45">
      <c r="C33" s="5">
        <f>GETPIVOTDATA("Somme de Montant",$A$3)-9000-2500</f>
        <v>8192819.4619999994</v>
      </c>
      <c r="E33">
        <v>9386700</v>
      </c>
      <c r="F33">
        <v>4420000</v>
      </c>
    </row>
    <row r="34" spans="2:6" x14ac:dyDescent="0.45">
      <c r="E34">
        <f>E33+F33</f>
        <v>13806700</v>
      </c>
    </row>
    <row r="35" spans="2:6" x14ac:dyDescent="0.45">
      <c r="B35" s="5">
        <f>C35+9000</f>
        <v>5523701</v>
      </c>
      <c r="C35" s="5">
        <v>5514701</v>
      </c>
      <c r="E35" s="5">
        <f>E34-C33</f>
        <v>5613880.5380000006</v>
      </c>
    </row>
    <row r="36" spans="2:6" x14ac:dyDescent="0.45">
      <c r="B36" s="5">
        <f>E35-B35</f>
        <v>90179.538000000641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3"/>
  <sheetViews>
    <sheetView workbookViewId="0">
      <selection activeCell="J18" sqref="J18"/>
    </sheetView>
  </sheetViews>
  <sheetFormatPr baseColWidth="10" defaultColWidth="9.06640625" defaultRowHeight="14.25" x14ac:dyDescent="0.45"/>
  <cols>
    <col min="1" max="1" width="12.3984375" customWidth="1"/>
    <col min="2" max="2" width="23.46484375" customWidth="1"/>
    <col min="3" max="3" width="8.59765625" customWidth="1"/>
    <col min="4" max="4" width="40.33203125" customWidth="1"/>
    <col min="5" max="5" width="16.53125" customWidth="1"/>
    <col min="6" max="6" width="11.3984375" customWidth="1"/>
    <col min="7" max="7" width="23.86328125" customWidth="1"/>
    <col min="8" max="8" width="9.265625" customWidth="1"/>
    <col min="9" max="9" width="41.46484375" customWidth="1"/>
    <col min="10" max="10" width="18.1328125" customWidth="1"/>
    <col min="11" max="11" width="12.73046875" customWidth="1"/>
    <col min="12" max="12" width="10.796875" customWidth="1"/>
    <col min="13" max="13" width="14.59765625" customWidth="1"/>
    <col min="14" max="14" width="13.86328125" customWidth="1"/>
    <col min="15" max="15" width="11.9296875" customWidth="1"/>
    <col min="16" max="16" width="16.86328125" customWidth="1"/>
  </cols>
  <sheetData>
    <row r="1" spans="1:1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45">
      <c r="A2" s="2">
        <v>46142</v>
      </c>
      <c r="B2" s="1">
        <v>0</v>
      </c>
      <c r="C2" s="1" t="s">
        <v>16</v>
      </c>
      <c r="D2" s="1" t="s">
        <v>17</v>
      </c>
      <c r="E2" s="1" t="s">
        <v>27</v>
      </c>
      <c r="F2" s="1"/>
      <c r="G2" s="1"/>
      <c r="H2" s="1"/>
      <c r="I2" s="1" t="s">
        <v>18</v>
      </c>
      <c r="J2" s="1">
        <v>5.7</v>
      </c>
      <c r="K2" s="1">
        <v>68400</v>
      </c>
      <c r="L2" s="1"/>
      <c r="M2" s="1"/>
      <c r="N2" s="1"/>
      <c r="O2" s="1">
        <v>9992</v>
      </c>
      <c r="P2" s="1" t="s">
        <v>19</v>
      </c>
    </row>
    <row r="3" spans="1:16" x14ac:dyDescent="0.45">
      <c r="A3" s="2">
        <v>46142</v>
      </c>
      <c r="B3" s="1">
        <v>0</v>
      </c>
      <c r="C3" s="1" t="s">
        <v>16</v>
      </c>
      <c r="D3" s="1" t="s">
        <v>17</v>
      </c>
      <c r="E3" s="1" t="s">
        <v>27</v>
      </c>
      <c r="F3" s="1"/>
      <c r="G3" s="1"/>
      <c r="H3" s="1"/>
      <c r="I3" s="1" t="s">
        <v>28</v>
      </c>
      <c r="J3" s="1">
        <v>78</v>
      </c>
      <c r="K3" s="1">
        <v>858000</v>
      </c>
      <c r="L3" s="1"/>
      <c r="M3" s="1"/>
      <c r="N3" s="1"/>
      <c r="O3" s="1">
        <v>9993</v>
      </c>
      <c r="P3" s="1" t="s">
        <v>19</v>
      </c>
    </row>
    <row r="4" spans="1:16" x14ac:dyDescent="0.45">
      <c r="A4" s="2">
        <v>46142</v>
      </c>
      <c r="B4" s="1">
        <v>0</v>
      </c>
      <c r="C4" s="1" t="s">
        <v>16</v>
      </c>
      <c r="D4" s="1" t="s">
        <v>17</v>
      </c>
      <c r="E4" s="1" t="s">
        <v>27</v>
      </c>
      <c r="F4" s="1"/>
      <c r="G4" s="1"/>
      <c r="H4" s="1"/>
      <c r="I4" s="1" t="s">
        <v>23</v>
      </c>
      <c r="J4" s="1">
        <v>6.7</v>
      </c>
      <c r="K4" s="1">
        <v>73700</v>
      </c>
      <c r="L4" s="1"/>
      <c r="M4" s="1"/>
      <c r="N4" s="1"/>
      <c r="O4" s="1">
        <v>9994</v>
      </c>
      <c r="P4" s="1" t="s">
        <v>19</v>
      </c>
    </row>
    <row r="5" spans="1:16" x14ac:dyDescent="0.45">
      <c r="A5" s="2">
        <v>46142</v>
      </c>
      <c r="B5" s="1">
        <v>0</v>
      </c>
      <c r="C5" s="1" t="s">
        <v>16</v>
      </c>
      <c r="D5" s="1" t="s">
        <v>17</v>
      </c>
      <c r="E5" s="1" t="s">
        <v>27</v>
      </c>
      <c r="F5" s="1"/>
      <c r="G5" s="1"/>
      <c r="H5" s="1"/>
      <c r="I5" s="1" t="s">
        <v>24</v>
      </c>
      <c r="J5" s="1">
        <v>1.5</v>
      </c>
      <c r="K5" s="1">
        <v>15000</v>
      </c>
      <c r="L5" s="1"/>
      <c r="M5" s="1"/>
      <c r="N5" s="1"/>
      <c r="O5" s="1">
        <v>9995</v>
      </c>
      <c r="P5" s="1" t="s">
        <v>19</v>
      </c>
    </row>
    <row r="6" spans="1:16" x14ac:dyDescent="0.45">
      <c r="A6" s="2">
        <v>46142</v>
      </c>
      <c r="B6" s="1">
        <v>0</v>
      </c>
      <c r="C6" s="1" t="s">
        <v>16</v>
      </c>
      <c r="D6" s="1" t="s">
        <v>17</v>
      </c>
      <c r="E6" s="1" t="s">
        <v>27</v>
      </c>
      <c r="F6" s="1"/>
      <c r="G6" s="1"/>
      <c r="H6" s="1"/>
      <c r="I6" s="1" t="s">
        <v>25</v>
      </c>
      <c r="J6" s="1">
        <v>6.5</v>
      </c>
      <c r="K6" s="1">
        <v>78000</v>
      </c>
      <c r="L6" s="1"/>
      <c r="M6" s="1"/>
      <c r="N6" s="1"/>
      <c r="O6" s="1">
        <v>9996</v>
      </c>
      <c r="P6" s="1" t="s">
        <v>19</v>
      </c>
    </row>
    <row r="7" spans="1:16" x14ac:dyDescent="0.45">
      <c r="A7" s="2">
        <v>46142</v>
      </c>
      <c r="B7" s="1">
        <v>0</v>
      </c>
      <c r="C7" s="1" t="s">
        <v>16</v>
      </c>
      <c r="D7" s="1" t="s">
        <v>17</v>
      </c>
      <c r="E7" s="1" t="s">
        <v>27</v>
      </c>
      <c r="F7" s="1"/>
      <c r="G7" s="1"/>
      <c r="H7" s="1"/>
      <c r="I7" s="1" t="s">
        <v>26</v>
      </c>
      <c r="J7" s="1">
        <v>7</v>
      </c>
      <c r="K7" s="1">
        <v>63000</v>
      </c>
      <c r="L7" s="1"/>
      <c r="M7" s="1"/>
      <c r="N7" s="1"/>
      <c r="O7" s="1">
        <v>9997</v>
      </c>
      <c r="P7" s="1" t="s">
        <v>19</v>
      </c>
    </row>
    <row r="8" spans="1:16" x14ac:dyDescent="0.45">
      <c r="A8" s="2">
        <v>46142</v>
      </c>
      <c r="B8" s="1">
        <v>0</v>
      </c>
      <c r="C8" s="1" t="s">
        <v>16</v>
      </c>
      <c r="D8" s="1" t="s">
        <v>17</v>
      </c>
      <c r="E8" s="1" t="s">
        <v>27</v>
      </c>
      <c r="F8" s="1"/>
      <c r="G8" s="1"/>
      <c r="H8" s="1"/>
      <c r="I8" s="1" t="s">
        <v>22</v>
      </c>
      <c r="J8" s="1">
        <v>1.375</v>
      </c>
      <c r="K8" s="1">
        <v>20625</v>
      </c>
      <c r="L8" s="1"/>
      <c r="M8" s="1"/>
      <c r="N8" s="1"/>
      <c r="O8" s="1">
        <v>9998</v>
      </c>
      <c r="P8" s="1" t="s">
        <v>19</v>
      </c>
    </row>
    <row r="9" spans="1:16" x14ac:dyDescent="0.45">
      <c r="A9" s="2">
        <v>46142</v>
      </c>
      <c r="B9" s="1">
        <v>0</v>
      </c>
      <c r="C9" s="1" t="s">
        <v>16</v>
      </c>
      <c r="D9" s="1" t="s">
        <v>17</v>
      </c>
      <c r="E9" s="1" t="s">
        <v>27</v>
      </c>
      <c r="F9" s="1"/>
      <c r="G9" s="1"/>
      <c r="H9" s="1"/>
      <c r="I9" s="1" t="s">
        <v>20</v>
      </c>
      <c r="J9" s="1">
        <v>10.083333</v>
      </c>
      <c r="K9" s="1">
        <v>90750</v>
      </c>
      <c r="L9" s="1"/>
      <c r="M9" s="1"/>
      <c r="N9" s="1"/>
      <c r="O9" s="1">
        <v>9999</v>
      </c>
      <c r="P9" s="1" t="s">
        <v>19</v>
      </c>
    </row>
    <row r="10" spans="1:16" x14ac:dyDescent="0.45">
      <c r="A10" s="2">
        <v>46142</v>
      </c>
      <c r="B10" s="1">
        <v>0</v>
      </c>
      <c r="C10" s="1" t="s">
        <v>16</v>
      </c>
      <c r="D10" s="1" t="s">
        <v>17</v>
      </c>
      <c r="E10" s="1" t="s">
        <v>27</v>
      </c>
      <c r="F10" s="1"/>
      <c r="G10" s="1"/>
      <c r="H10" s="1"/>
      <c r="I10" s="1" t="s">
        <v>21</v>
      </c>
      <c r="J10" s="1">
        <v>11.5</v>
      </c>
      <c r="K10" s="1">
        <v>172500</v>
      </c>
      <c r="L10" s="1"/>
      <c r="M10" s="1"/>
      <c r="N10" s="1"/>
      <c r="O10" s="1">
        <v>10000</v>
      </c>
      <c r="P10" s="1" t="s">
        <v>19</v>
      </c>
    </row>
    <row r="11" spans="1:16" x14ac:dyDescent="0.45">
      <c r="A11" s="2">
        <v>46142</v>
      </c>
      <c r="B11" s="1">
        <v>0</v>
      </c>
      <c r="C11" s="1" t="s">
        <v>29</v>
      </c>
      <c r="D11" s="1" t="s">
        <v>30</v>
      </c>
      <c r="E11" s="1" t="s">
        <v>27</v>
      </c>
      <c r="F11" s="1"/>
      <c r="G11" s="1"/>
      <c r="H11" s="1"/>
      <c r="I11" s="1" t="s">
        <v>31</v>
      </c>
      <c r="J11" s="1">
        <v>14.5</v>
      </c>
      <c r="K11" s="1">
        <v>152250</v>
      </c>
      <c r="L11" s="1"/>
      <c r="M11" s="1"/>
      <c r="N11" s="1"/>
      <c r="O11" s="1">
        <v>10001</v>
      </c>
      <c r="P11" s="1" t="s">
        <v>19</v>
      </c>
    </row>
    <row r="12" spans="1:16" x14ac:dyDescent="0.45">
      <c r="A12" s="2">
        <v>46142</v>
      </c>
      <c r="B12" s="1">
        <v>0</v>
      </c>
      <c r="C12" s="1" t="s">
        <v>29</v>
      </c>
      <c r="D12" s="1" t="s">
        <v>30</v>
      </c>
      <c r="E12" s="1" t="s">
        <v>27</v>
      </c>
      <c r="F12" s="1"/>
      <c r="G12" s="1"/>
      <c r="H12" s="1"/>
      <c r="I12" s="1" t="s">
        <v>32</v>
      </c>
      <c r="J12" s="1">
        <v>1</v>
      </c>
      <c r="K12" s="1">
        <v>10500</v>
      </c>
      <c r="L12" s="1"/>
      <c r="M12" s="1"/>
      <c r="N12" s="1"/>
      <c r="O12" s="1">
        <v>10002</v>
      </c>
      <c r="P12" s="1" t="s">
        <v>19</v>
      </c>
    </row>
    <row r="13" spans="1:16" x14ac:dyDescent="0.45">
      <c r="A13" s="2">
        <v>46142</v>
      </c>
      <c r="B13" s="1">
        <v>0</v>
      </c>
      <c r="C13" s="1" t="s">
        <v>29</v>
      </c>
      <c r="D13" s="1" t="s">
        <v>30</v>
      </c>
      <c r="E13" s="1" t="s">
        <v>27</v>
      </c>
      <c r="F13" s="1"/>
      <c r="G13" s="1"/>
      <c r="H13" s="1"/>
      <c r="I13" s="1" t="s">
        <v>33</v>
      </c>
      <c r="J13" s="1">
        <v>5</v>
      </c>
      <c r="K13" s="1">
        <v>32500</v>
      </c>
      <c r="L13" s="1"/>
      <c r="M13" s="1"/>
      <c r="N13" s="1"/>
      <c r="O13" s="1">
        <v>10003</v>
      </c>
      <c r="P13" s="1" t="s">
        <v>19</v>
      </c>
    </row>
    <row r="14" spans="1:16" x14ac:dyDescent="0.45">
      <c r="A14" s="2">
        <v>46142</v>
      </c>
      <c r="B14" s="1">
        <v>0</v>
      </c>
      <c r="C14" s="1" t="s">
        <v>29</v>
      </c>
      <c r="D14" s="1" t="s">
        <v>30</v>
      </c>
      <c r="E14" s="1" t="s">
        <v>27</v>
      </c>
      <c r="F14" s="1"/>
      <c r="G14" s="1"/>
      <c r="H14" s="1"/>
      <c r="I14" s="1" t="s">
        <v>18</v>
      </c>
      <c r="J14" s="1">
        <v>27</v>
      </c>
      <c r="K14" s="1">
        <v>324000</v>
      </c>
      <c r="L14" s="1"/>
      <c r="M14" s="1"/>
      <c r="N14" s="1"/>
      <c r="O14" s="1">
        <v>10004</v>
      </c>
      <c r="P14" s="1" t="s">
        <v>19</v>
      </c>
    </row>
    <row r="15" spans="1:16" x14ac:dyDescent="0.45">
      <c r="A15" s="2">
        <v>46142</v>
      </c>
      <c r="B15" s="1">
        <v>0</v>
      </c>
      <c r="C15" s="1" t="s">
        <v>29</v>
      </c>
      <c r="D15" s="1" t="s">
        <v>30</v>
      </c>
      <c r="E15" s="1" t="s">
        <v>27</v>
      </c>
      <c r="F15" s="1"/>
      <c r="G15" s="1"/>
      <c r="H15" s="1"/>
      <c r="I15" s="1" t="s">
        <v>34</v>
      </c>
      <c r="J15" s="1">
        <v>2.75</v>
      </c>
      <c r="K15" s="1">
        <v>48125</v>
      </c>
      <c r="L15" s="1"/>
      <c r="M15" s="1"/>
      <c r="N15" s="1"/>
      <c r="O15" s="1">
        <v>10005</v>
      </c>
      <c r="P15" s="1" t="s">
        <v>19</v>
      </c>
    </row>
    <row r="16" spans="1:16" x14ac:dyDescent="0.45">
      <c r="A16" s="2">
        <v>46142</v>
      </c>
      <c r="B16" s="1">
        <v>0</v>
      </c>
      <c r="C16" s="1" t="s">
        <v>29</v>
      </c>
      <c r="D16" s="1" t="s">
        <v>30</v>
      </c>
      <c r="E16" s="1" t="s">
        <v>27</v>
      </c>
      <c r="F16" s="1"/>
      <c r="G16" s="1"/>
      <c r="H16" s="1"/>
      <c r="I16" s="1" t="s">
        <v>35</v>
      </c>
      <c r="J16" s="1">
        <v>2.625</v>
      </c>
      <c r="K16" s="1">
        <v>87937.5</v>
      </c>
      <c r="L16" s="1"/>
      <c r="M16" s="1"/>
      <c r="N16" s="1"/>
      <c r="O16" s="1">
        <v>10006</v>
      </c>
      <c r="P16" s="1" t="s">
        <v>19</v>
      </c>
    </row>
    <row r="17" spans="1:16" x14ac:dyDescent="0.45">
      <c r="A17" s="2">
        <v>46142</v>
      </c>
      <c r="B17" s="1">
        <v>0</v>
      </c>
      <c r="C17" s="1" t="s">
        <v>29</v>
      </c>
      <c r="D17" s="1" t="s">
        <v>30</v>
      </c>
      <c r="E17" s="1" t="s">
        <v>27</v>
      </c>
      <c r="F17" s="1"/>
      <c r="G17" s="1"/>
      <c r="H17" s="1"/>
      <c r="I17" s="1" t="s">
        <v>36</v>
      </c>
      <c r="J17" s="1">
        <v>3</v>
      </c>
      <c r="K17" s="1">
        <v>100500</v>
      </c>
      <c r="L17" s="1"/>
      <c r="M17" s="1"/>
      <c r="N17" s="1"/>
      <c r="O17" s="1">
        <v>10007</v>
      </c>
      <c r="P17" s="1" t="s">
        <v>19</v>
      </c>
    </row>
    <row r="18" spans="1:16" x14ac:dyDescent="0.45">
      <c r="A18" s="2">
        <v>46142</v>
      </c>
      <c r="B18" s="1">
        <v>0</v>
      </c>
      <c r="C18" s="1" t="s">
        <v>29</v>
      </c>
      <c r="D18" s="1" t="s">
        <v>30</v>
      </c>
      <c r="E18" s="1" t="s">
        <v>27</v>
      </c>
      <c r="F18" s="1"/>
      <c r="G18" s="1"/>
      <c r="H18" s="1"/>
      <c r="I18" s="1" t="s">
        <v>37</v>
      </c>
      <c r="J18" s="1">
        <v>9.4166670000000003</v>
      </c>
      <c r="K18" s="1">
        <v>117708.336</v>
      </c>
      <c r="L18" s="1"/>
      <c r="M18" s="1"/>
      <c r="N18" s="1"/>
      <c r="O18" s="1">
        <v>10008</v>
      </c>
      <c r="P18" s="1" t="s">
        <v>19</v>
      </c>
    </row>
    <row r="19" spans="1:16" x14ac:dyDescent="0.45">
      <c r="A19" s="2">
        <v>46142</v>
      </c>
      <c r="B19" s="1">
        <v>0</v>
      </c>
      <c r="C19" s="1" t="s">
        <v>29</v>
      </c>
      <c r="D19" s="1" t="s">
        <v>30</v>
      </c>
      <c r="E19" s="1" t="s">
        <v>27</v>
      </c>
      <c r="F19" s="1"/>
      <c r="G19" s="1"/>
      <c r="H19" s="1"/>
      <c r="I19" s="1" t="s">
        <v>38</v>
      </c>
      <c r="J19" s="1">
        <v>5</v>
      </c>
      <c r="K19" s="1">
        <v>62500</v>
      </c>
      <c r="L19" s="1"/>
      <c r="M19" s="1"/>
      <c r="N19" s="1"/>
      <c r="O19" s="1">
        <v>10009</v>
      </c>
      <c r="P19" s="1" t="s">
        <v>19</v>
      </c>
    </row>
    <row r="20" spans="1:16" x14ac:dyDescent="0.45">
      <c r="A20" s="2">
        <v>46142</v>
      </c>
      <c r="B20" s="1">
        <v>0</v>
      </c>
      <c r="C20" s="1" t="s">
        <v>29</v>
      </c>
      <c r="D20" s="1" t="s">
        <v>30</v>
      </c>
      <c r="E20" s="1" t="s">
        <v>27</v>
      </c>
      <c r="F20" s="1"/>
      <c r="G20" s="1"/>
      <c r="H20" s="1"/>
      <c r="I20" s="1" t="s">
        <v>39</v>
      </c>
      <c r="J20" s="1">
        <v>10</v>
      </c>
      <c r="K20" s="1">
        <v>155000</v>
      </c>
      <c r="L20" s="1"/>
      <c r="M20" s="1"/>
      <c r="N20" s="1"/>
      <c r="O20" s="1">
        <v>10010</v>
      </c>
      <c r="P20" s="1" t="s">
        <v>19</v>
      </c>
    </row>
    <row r="21" spans="1:16" x14ac:dyDescent="0.45">
      <c r="A21" s="2">
        <v>46142</v>
      </c>
      <c r="B21" s="1">
        <v>0</v>
      </c>
      <c r="C21" s="1" t="s">
        <v>29</v>
      </c>
      <c r="D21" s="1" t="s">
        <v>30</v>
      </c>
      <c r="E21" s="1" t="s">
        <v>27</v>
      </c>
      <c r="F21" s="1"/>
      <c r="G21" s="1"/>
      <c r="H21" s="1"/>
      <c r="I21" s="1" t="s">
        <v>40</v>
      </c>
      <c r="J21" s="1">
        <v>2</v>
      </c>
      <c r="K21" s="1">
        <v>31000</v>
      </c>
      <c r="L21" s="1"/>
      <c r="M21" s="1"/>
      <c r="N21" s="1"/>
      <c r="O21" s="1">
        <v>10011</v>
      </c>
      <c r="P21" s="1" t="s">
        <v>19</v>
      </c>
    </row>
    <row r="22" spans="1:16" x14ac:dyDescent="0.45">
      <c r="A22" s="2">
        <v>46142</v>
      </c>
      <c r="B22" s="1">
        <v>0</v>
      </c>
      <c r="C22" s="1" t="s">
        <v>29</v>
      </c>
      <c r="D22" s="1" t="s">
        <v>30</v>
      </c>
      <c r="E22" s="1" t="s">
        <v>27</v>
      </c>
      <c r="F22" s="1"/>
      <c r="G22" s="1"/>
      <c r="H22" s="1"/>
      <c r="I22" s="1" t="s">
        <v>41</v>
      </c>
      <c r="J22" s="1">
        <v>11.5</v>
      </c>
      <c r="K22" s="1">
        <v>224250</v>
      </c>
      <c r="L22" s="1"/>
      <c r="M22" s="1"/>
      <c r="N22" s="1"/>
      <c r="O22" s="1">
        <v>10012</v>
      </c>
      <c r="P22" s="1" t="s">
        <v>19</v>
      </c>
    </row>
    <row r="23" spans="1:16" x14ac:dyDescent="0.45">
      <c r="A23" s="2">
        <v>46142</v>
      </c>
      <c r="B23" s="1">
        <v>0</v>
      </c>
      <c r="C23" s="1" t="s">
        <v>29</v>
      </c>
      <c r="D23" s="1" t="s">
        <v>30</v>
      </c>
      <c r="E23" s="1" t="s">
        <v>27</v>
      </c>
      <c r="F23" s="1"/>
      <c r="G23" s="1"/>
      <c r="H23" s="1"/>
      <c r="I23" s="1" t="s">
        <v>42</v>
      </c>
      <c r="J23" s="1">
        <v>10</v>
      </c>
      <c r="K23" s="1">
        <v>260000</v>
      </c>
      <c r="L23" s="1"/>
      <c r="M23" s="1"/>
      <c r="N23" s="1"/>
      <c r="O23" s="1">
        <v>10013</v>
      </c>
      <c r="P23" s="1" t="s">
        <v>19</v>
      </c>
    </row>
    <row r="24" spans="1:16" x14ac:dyDescent="0.45">
      <c r="A24" s="2">
        <v>46142</v>
      </c>
      <c r="B24" s="1">
        <v>0</v>
      </c>
      <c r="C24" s="1" t="s">
        <v>29</v>
      </c>
      <c r="D24" s="1" t="s">
        <v>30</v>
      </c>
      <c r="E24" s="1" t="s">
        <v>27</v>
      </c>
      <c r="F24" s="1"/>
      <c r="G24" s="1"/>
      <c r="H24" s="1"/>
      <c r="I24" s="1" t="s">
        <v>43</v>
      </c>
      <c r="J24" s="1">
        <v>5.6666664999999998</v>
      </c>
      <c r="K24" s="1">
        <v>158666.67000000001</v>
      </c>
      <c r="L24" s="1"/>
      <c r="M24" s="1"/>
      <c r="N24" s="1"/>
      <c r="O24" s="1">
        <v>10014</v>
      </c>
      <c r="P24" s="1" t="s">
        <v>19</v>
      </c>
    </row>
    <row r="25" spans="1:16" x14ac:dyDescent="0.45">
      <c r="A25" s="2">
        <v>46142</v>
      </c>
      <c r="B25" s="1">
        <v>0</v>
      </c>
      <c r="C25" s="1" t="s">
        <v>29</v>
      </c>
      <c r="D25" s="1" t="s">
        <v>30</v>
      </c>
      <c r="E25" s="1" t="s">
        <v>27</v>
      </c>
      <c r="F25" s="1"/>
      <c r="G25" s="1"/>
      <c r="H25" s="1"/>
      <c r="I25" s="1" t="s">
        <v>23</v>
      </c>
      <c r="J25" s="1">
        <v>0.4</v>
      </c>
      <c r="K25" s="1">
        <v>4400</v>
      </c>
      <c r="L25" s="1"/>
      <c r="M25" s="1"/>
      <c r="N25" s="1"/>
      <c r="O25" s="1">
        <v>10015</v>
      </c>
      <c r="P25" s="1" t="s">
        <v>19</v>
      </c>
    </row>
    <row r="26" spans="1:16" x14ac:dyDescent="0.45">
      <c r="A26" s="2">
        <v>46142</v>
      </c>
      <c r="B26" s="1">
        <v>0</v>
      </c>
      <c r="C26" s="1" t="s">
        <v>29</v>
      </c>
      <c r="D26" s="1" t="s">
        <v>30</v>
      </c>
      <c r="E26" s="1" t="s">
        <v>27</v>
      </c>
      <c r="F26" s="1"/>
      <c r="G26" s="1"/>
      <c r="H26" s="1"/>
      <c r="I26" s="1" t="s">
        <v>44</v>
      </c>
      <c r="J26" s="1">
        <v>13</v>
      </c>
      <c r="K26" s="1">
        <v>702000</v>
      </c>
      <c r="L26" s="1"/>
      <c r="M26" s="1"/>
      <c r="N26" s="1"/>
      <c r="O26" s="1">
        <v>10016</v>
      </c>
      <c r="P26" s="1" t="s">
        <v>19</v>
      </c>
    </row>
    <row r="27" spans="1:16" x14ac:dyDescent="0.45">
      <c r="A27" s="2">
        <v>46142</v>
      </c>
      <c r="B27" s="1">
        <v>0</v>
      </c>
      <c r="C27" s="1" t="s">
        <v>29</v>
      </c>
      <c r="D27" s="1" t="s">
        <v>30</v>
      </c>
      <c r="E27" s="1" t="s">
        <v>27</v>
      </c>
      <c r="F27" s="1"/>
      <c r="G27" s="1"/>
      <c r="H27" s="1"/>
      <c r="I27" s="1" t="s">
        <v>45</v>
      </c>
      <c r="J27" s="1">
        <v>0.58333330000000005</v>
      </c>
      <c r="K27" s="1">
        <v>10500</v>
      </c>
      <c r="L27" s="1"/>
      <c r="M27" s="1"/>
      <c r="N27" s="1"/>
      <c r="O27" s="1">
        <v>10017</v>
      </c>
      <c r="P27" s="1" t="s">
        <v>19</v>
      </c>
    </row>
    <row r="28" spans="1:16" x14ac:dyDescent="0.45">
      <c r="A28" s="2">
        <v>46142</v>
      </c>
      <c r="B28" s="1">
        <v>0</v>
      </c>
      <c r="C28" s="1" t="s">
        <v>47</v>
      </c>
      <c r="D28" s="1" t="s">
        <v>48</v>
      </c>
      <c r="E28" s="1" t="s">
        <v>27</v>
      </c>
      <c r="F28" s="1"/>
      <c r="G28" s="1"/>
      <c r="H28" s="1"/>
      <c r="I28" s="1" t="s">
        <v>46</v>
      </c>
      <c r="J28" s="1">
        <v>8.444445</v>
      </c>
      <c r="K28" s="1">
        <v>219555.56</v>
      </c>
      <c r="L28" s="1"/>
      <c r="M28" s="1"/>
      <c r="N28" s="1"/>
      <c r="O28" s="1">
        <v>10097</v>
      </c>
      <c r="P28" s="1" t="s">
        <v>19</v>
      </c>
    </row>
    <row r="29" spans="1:16" x14ac:dyDescent="0.45">
      <c r="A29" s="2">
        <v>46142</v>
      </c>
      <c r="B29" s="1">
        <v>0</v>
      </c>
      <c r="C29" s="1" t="s">
        <v>47</v>
      </c>
      <c r="D29" s="1" t="s">
        <v>48</v>
      </c>
      <c r="E29" s="1" t="s">
        <v>27</v>
      </c>
      <c r="F29" s="1"/>
      <c r="G29" s="1"/>
      <c r="H29" s="1"/>
      <c r="I29" s="1" t="s">
        <v>42</v>
      </c>
      <c r="J29" s="1">
        <v>10</v>
      </c>
      <c r="K29" s="1">
        <v>260000</v>
      </c>
      <c r="L29" s="1"/>
      <c r="M29" s="1"/>
      <c r="N29" s="1"/>
      <c r="O29" s="1">
        <v>10098</v>
      </c>
      <c r="P29" s="1" t="s">
        <v>19</v>
      </c>
    </row>
    <row r="30" spans="1:16" x14ac:dyDescent="0.45">
      <c r="A30" s="2">
        <v>46142</v>
      </c>
      <c r="B30" s="1">
        <v>0</v>
      </c>
      <c r="C30" s="1" t="s">
        <v>47</v>
      </c>
      <c r="D30" s="1" t="s">
        <v>48</v>
      </c>
      <c r="E30" s="1" t="s">
        <v>27</v>
      </c>
      <c r="F30" s="1"/>
      <c r="G30" s="1"/>
      <c r="H30" s="1"/>
      <c r="I30" s="1" t="s">
        <v>41</v>
      </c>
      <c r="J30" s="1">
        <v>19</v>
      </c>
      <c r="K30" s="1">
        <v>370500</v>
      </c>
      <c r="L30" s="1"/>
      <c r="M30" s="1"/>
      <c r="N30" s="1"/>
      <c r="O30" s="1">
        <v>10099</v>
      </c>
      <c r="P30" s="1" t="s">
        <v>19</v>
      </c>
    </row>
    <row r="31" spans="1:16" x14ac:dyDescent="0.45">
      <c r="A31" s="2">
        <v>46142</v>
      </c>
      <c r="B31" s="1">
        <v>0</v>
      </c>
      <c r="C31" s="1" t="s">
        <v>47</v>
      </c>
      <c r="D31" s="1" t="s">
        <v>48</v>
      </c>
      <c r="E31" s="1" t="s">
        <v>27</v>
      </c>
      <c r="F31" s="1"/>
      <c r="G31" s="1"/>
      <c r="H31" s="1"/>
      <c r="I31" s="1" t="s">
        <v>43</v>
      </c>
      <c r="J31" s="1">
        <v>0.55555560000000004</v>
      </c>
      <c r="K31" s="1">
        <v>15555.556</v>
      </c>
      <c r="L31" s="1"/>
      <c r="M31" s="1"/>
      <c r="N31" s="1"/>
      <c r="O31" s="1">
        <v>10100</v>
      </c>
      <c r="P31" s="1" t="s">
        <v>19</v>
      </c>
    </row>
    <row r="32" spans="1:16" x14ac:dyDescent="0.45">
      <c r="A32" s="2">
        <v>46142</v>
      </c>
      <c r="B32" s="1">
        <v>0</v>
      </c>
      <c r="C32" s="1" t="s">
        <v>47</v>
      </c>
      <c r="D32" s="1" t="s">
        <v>48</v>
      </c>
      <c r="E32" s="1" t="s">
        <v>27</v>
      </c>
      <c r="F32" s="1"/>
      <c r="G32" s="1"/>
      <c r="H32" s="1"/>
      <c r="I32" s="1" t="s">
        <v>34</v>
      </c>
      <c r="J32" s="1">
        <v>11</v>
      </c>
      <c r="K32" s="1">
        <v>192500</v>
      </c>
      <c r="L32" s="1"/>
      <c r="M32" s="1"/>
      <c r="N32" s="1"/>
      <c r="O32" s="1">
        <v>10101</v>
      </c>
      <c r="P32" s="1" t="s">
        <v>19</v>
      </c>
    </row>
    <row r="33" spans="1:16" x14ac:dyDescent="0.45">
      <c r="A33" s="2">
        <v>46142</v>
      </c>
      <c r="B33" s="1">
        <v>0</v>
      </c>
      <c r="C33" s="1" t="s">
        <v>47</v>
      </c>
      <c r="D33" s="1" t="s">
        <v>48</v>
      </c>
      <c r="E33" s="1" t="s">
        <v>27</v>
      </c>
      <c r="F33" s="1"/>
      <c r="G33" s="1"/>
      <c r="H33" s="1"/>
      <c r="I33" s="1" t="s">
        <v>35</v>
      </c>
      <c r="J33" s="1">
        <v>15.875</v>
      </c>
      <c r="K33" s="1">
        <v>531812.5</v>
      </c>
      <c r="L33" s="1"/>
      <c r="M33" s="1"/>
      <c r="N33" s="1"/>
      <c r="O33" s="1">
        <v>10102</v>
      </c>
      <c r="P33" s="1" t="s">
        <v>19</v>
      </c>
    </row>
    <row r="34" spans="1:16" x14ac:dyDescent="0.45">
      <c r="A34" s="2">
        <v>46142</v>
      </c>
      <c r="B34" s="1">
        <v>0</v>
      </c>
      <c r="C34" s="1" t="s">
        <v>47</v>
      </c>
      <c r="D34" s="1" t="s">
        <v>48</v>
      </c>
      <c r="E34" s="1" t="s">
        <v>27</v>
      </c>
      <c r="F34" s="1"/>
      <c r="G34" s="1"/>
      <c r="H34" s="1"/>
      <c r="I34" s="1" t="s">
        <v>36</v>
      </c>
      <c r="J34" s="1">
        <v>12.166667</v>
      </c>
      <c r="K34" s="1">
        <v>407583.34</v>
      </c>
      <c r="L34" s="1"/>
      <c r="M34" s="1"/>
      <c r="N34" s="1"/>
      <c r="O34" s="1">
        <v>10103</v>
      </c>
      <c r="P34" s="1" t="s">
        <v>19</v>
      </c>
    </row>
    <row r="35" spans="1:16" x14ac:dyDescent="0.45">
      <c r="A35" s="2">
        <v>46142</v>
      </c>
      <c r="B35" s="1">
        <v>0</v>
      </c>
      <c r="C35" s="1" t="s">
        <v>47</v>
      </c>
      <c r="D35" s="1" t="s">
        <v>48</v>
      </c>
      <c r="E35" s="1" t="s">
        <v>27</v>
      </c>
      <c r="F35" s="1"/>
      <c r="G35" s="1"/>
      <c r="H35" s="1"/>
      <c r="I35" s="1" t="s">
        <v>31</v>
      </c>
      <c r="J35" s="1">
        <v>47.5</v>
      </c>
      <c r="K35" s="1">
        <v>498750</v>
      </c>
      <c r="L35" s="1"/>
      <c r="M35" s="1"/>
      <c r="N35" s="1"/>
      <c r="O35" s="1">
        <v>10104</v>
      </c>
      <c r="P35" s="1" t="s">
        <v>19</v>
      </c>
    </row>
    <row r="36" spans="1:16" x14ac:dyDescent="0.45">
      <c r="A36" s="2">
        <v>46142</v>
      </c>
      <c r="B36" s="1">
        <v>0</v>
      </c>
      <c r="C36" s="1" t="s">
        <v>47</v>
      </c>
      <c r="D36" s="1" t="s">
        <v>48</v>
      </c>
      <c r="E36" s="1" t="s">
        <v>27</v>
      </c>
      <c r="F36" s="1"/>
      <c r="G36" s="1"/>
      <c r="H36" s="1"/>
      <c r="I36" s="1" t="s">
        <v>32</v>
      </c>
      <c r="J36" s="1">
        <v>15</v>
      </c>
      <c r="K36" s="1">
        <v>157500</v>
      </c>
      <c r="L36" s="1"/>
      <c r="M36" s="1"/>
      <c r="N36" s="1"/>
      <c r="O36" s="1">
        <v>10105</v>
      </c>
      <c r="P36" s="1" t="s">
        <v>19</v>
      </c>
    </row>
    <row r="37" spans="1:16" x14ac:dyDescent="0.45">
      <c r="A37" s="2">
        <v>46142</v>
      </c>
      <c r="B37" s="1">
        <v>0</v>
      </c>
      <c r="C37" s="1" t="s">
        <v>47</v>
      </c>
      <c r="D37" s="1" t="s">
        <v>48</v>
      </c>
      <c r="E37" s="1" t="s">
        <v>27</v>
      </c>
      <c r="F37" s="1"/>
      <c r="G37" s="1"/>
      <c r="H37" s="1"/>
      <c r="I37" s="1" t="s">
        <v>49</v>
      </c>
      <c r="J37" s="1">
        <v>20.5</v>
      </c>
      <c r="K37" s="1">
        <v>123000</v>
      </c>
      <c r="L37" s="1"/>
      <c r="M37" s="1"/>
      <c r="N37" s="1"/>
      <c r="O37" s="1">
        <v>10106</v>
      </c>
      <c r="P37" s="1" t="s">
        <v>19</v>
      </c>
    </row>
    <row r="38" spans="1:16" x14ac:dyDescent="0.45">
      <c r="A38" s="2">
        <v>46142</v>
      </c>
      <c r="B38" s="1">
        <v>0</v>
      </c>
      <c r="C38" s="1" t="s">
        <v>47</v>
      </c>
      <c r="D38" s="1" t="s">
        <v>48</v>
      </c>
      <c r="E38" s="1" t="s">
        <v>27</v>
      </c>
      <c r="F38" s="1"/>
      <c r="G38" s="1"/>
      <c r="H38" s="1"/>
      <c r="I38" s="1" t="s">
        <v>44</v>
      </c>
      <c r="J38" s="1">
        <v>11</v>
      </c>
      <c r="K38" s="1">
        <v>594000</v>
      </c>
      <c r="L38" s="1"/>
      <c r="M38" s="1"/>
      <c r="N38" s="1"/>
      <c r="O38" s="1">
        <v>10107</v>
      </c>
      <c r="P38" s="1" t="s">
        <v>19</v>
      </c>
    </row>
    <row r="39" spans="1:16" x14ac:dyDescent="0.45">
      <c r="A39" s="2">
        <v>46142</v>
      </c>
      <c r="B39" s="1">
        <v>0</v>
      </c>
      <c r="C39" s="1" t="s">
        <v>47</v>
      </c>
      <c r="D39" s="1" t="s">
        <v>48</v>
      </c>
      <c r="E39" s="1" t="s">
        <v>27</v>
      </c>
      <c r="F39" s="1"/>
      <c r="G39" s="1"/>
      <c r="H39" s="1"/>
      <c r="I39" s="1" t="s">
        <v>50</v>
      </c>
      <c r="J39" s="1">
        <v>3</v>
      </c>
      <c r="K39" s="1">
        <v>162000</v>
      </c>
      <c r="L39" s="1"/>
      <c r="M39" s="1"/>
      <c r="N39" s="1"/>
      <c r="O39" s="1">
        <v>10108</v>
      </c>
      <c r="P39" s="1" t="s">
        <v>19</v>
      </c>
    </row>
    <row r="40" spans="1:16" x14ac:dyDescent="0.45">
      <c r="A40" s="2">
        <v>46142</v>
      </c>
      <c r="B40" s="1">
        <v>0</v>
      </c>
      <c r="C40" s="1" t="s">
        <v>47</v>
      </c>
      <c r="D40" s="1" t="s">
        <v>48</v>
      </c>
      <c r="E40" s="1" t="s">
        <v>27</v>
      </c>
      <c r="F40" s="1"/>
      <c r="G40" s="1"/>
      <c r="H40" s="1"/>
      <c r="I40" s="1" t="s">
        <v>37</v>
      </c>
      <c r="J40" s="1">
        <v>19</v>
      </c>
      <c r="K40" s="1">
        <v>237500</v>
      </c>
      <c r="L40" s="1"/>
      <c r="M40" s="1"/>
      <c r="N40" s="1"/>
      <c r="O40" s="1">
        <v>10109</v>
      </c>
      <c r="P40" s="1" t="s">
        <v>19</v>
      </c>
    </row>
    <row r="41" spans="1:16" x14ac:dyDescent="0.45">
      <c r="A41" s="2">
        <v>46142</v>
      </c>
      <c r="B41" s="1">
        <v>0</v>
      </c>
      <c r="C41" s="1" t="s">
        <v>47</v>
      </c>
      <c r="D41" s="1" t="s">
        <v>48</v>
      </c>
      <c r="E41" s="1" t="s">
        <v>27</v>
      </c>
      <c r="F41" s="1"/>
      <c r="G41" s="1"/>
      <c r="H41" s="1"/>
      <c r="I41" s="1" t="s">
        <v>38</v>
      </c>
      <c r="J41" s="1">
        <v>7.5</v>
      </c>
      <c r="K41" s="1">
        <v>93750</v>
      </c>
      <c r="L41" s="1"/>
      <c r="M41" s="1"/>
      <c r="N41" s="1"/>
      <c r="O41" s="1">
        <v>10110</v>
      </c>
      <c r="P41" s="1" t="s">
        <v>19</v>
      </c>
    </row>
    <row r="42" spans="1:16" x14ac:dyDescent="0.45">
      <c r="A42" s="2">
        <v>46142</v>
      </c>
      <c r="B42" s="1">
        <v>0</v>
      </c>
      <c r="C42" s="1" t="s">
        <v>47</v>
      </c>
      <c r="D42" s="1" t="s">
        <v>48</v>
      </c>
      <c r="E42" s="1" t="s">
        <v>27</v>
      </c>
      <c r="F42" s="1"/>
      <c r="G42" s="1"/>
      <c r="H42" s="1"/>
      <c r="I42" s="1" t="s">
        <v>39</v>
      </c>
      <c r="J42" s="1">
        <v>14.5</v>
      </c>
      <c r="K42" s="1">
        <v>224750</v>
      </c>
      <c r="L42" s="1"/>
      <c r="M42" s="1"/>
      <c r="N42" s="1"/>
      <c r="O42" s="1">
        <v>10111</v>
      </c>
      <c r="P42" s="1" t="s">
        <v>19</v>
      </c>
    </row>
    <row r="43" spans="1:16" x14ac:dyDescent="0.45">
      <c r="A43" s="2">
        <v>46142</v>
      </c>
      <c r="B43" s="1">
        <v>0</v>
      </c>
      <c r="C43" s="1" t="s">
        <v>47</v>
      </c>
      <c r="D43" s="1" t="s">
        <v>48</v>
      </c>
      <c r="E43" s="1" t="s">
        <v>27</v>
      </c>
      <c r="F43" s="1"/>
      <c r="G43" s="1"/>
      <c r="H43" s="1"/>
      <c r="I43" s="1" t="s">
        <v>40</v>
      </c>
      <c r="J43" s="1">
        <v>12.5</v>
      </c>
      <c r="K43" s="1">
        <v>193750</v>
      </c>
      <c r="L43" s="1"/>
      <c r="M43" s="1"/>
      <c r="N43" s="1"/>
      <c r="O43" s="1">
        <v>10112</v>
      </c>
      <c r="P43" s="1" t="s">
        <v>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Abdoulaye NDAO</cp:lastModifiedBy>
  <dcterms:created xsi:type="dcterms:W3CDTF">2026-05-04T16:14:15Z</dcterms:created>
  <dcterms:modified xsi:type="dcterms:W3CDTF">2026-05-04T18:17:29Z</dcterms:modified>
</cp:coreProperties>
</file>