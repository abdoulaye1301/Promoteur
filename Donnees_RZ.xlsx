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8BD31C0F-4962-467B-8671-02F962290976}" xr6:coauthVersionLast="47" xr6:coauthVersionMax="47" xr10:uidLastSave="{00000000-0000-0000-0000-000000000000}"/>
  <bookViews>
    <workbookView xWindow="15" yWindow="15" windowWidth="19185" windowHeight="10785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5" i="2" l="1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<sst xmlns="http://schemas.openxmlformats.org/spreadsheetml/2006/main" count="772" uniqueCount="169">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</sst>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5" totalsRowShown="0" headerRowDxfId="18" headerRowBorderDxfId="17" tableBorderDxfId="16">
  <autoFilter ref="A1:P85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5"/>
  <sheetViews>
    <sheetView tabSelected="1" topLeftCell="D59" zoomScale="79" zoomScaleNormal="79" workbookViewId="0">
      <selection activeCell="G75" sqref="G7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4">
        <v>46185</v>
      </c>
      <c r="B26" s="15" t="s">
        <v>49</v>
      </c>
      <c r="C26" s="15" t="s">
        <v>43</v>
      </c>
      <c r="D26" s="15" t="s">
        <v>88</v>
      </c>
      <c r="E26" s="15" t="s">
        <v>89</v>
      </c>
      <c r="F26" s="16">
        <v>777854561</v>
      </c>
      <c r="G26" s="15" t="s">
        <v>24</v>
      </c>
      <c r="H26" s="15" t="s">
        <v>36</v>
      </c>
      <c r="I26" s="15" t="s">
        <v>16</v>
      </c>
      <c r="J26" s="15" t="s">
        <v>20</v>
      </c>
      <c r="K26" s="15" t="s">
        <v>90</v>
      </c>
      <c r="L26" s="15">
        <v>17</v>
      </c>
      <c r="M26" s="17">
        <v>9000</v>
      </c>
      <c r="N26" s="17">
        <v>153000</v>
      </c>
      <c r="O26" s="18" t="str">
        <f>"S"&amp;_xlfn.ISOWEEKNUM(Semaine_1[[#This Row],[Date]])</f>
        <v>S24</v>
      </c>
      <c r="P26" s="19" t="str">
        <f>TEXT(Semaine_1[[#This Row],[Date]],"MMMM")</f>
        <v>juin</v>
      </c>
    </row>
    <row r="27" spans="1:16" ht="28.15" x14ac:dyDescent="0.45">
      <c r="A27" s="14">
        <v>46185</v>
      </c>
      <c r="B27" s="15" t="s">
        <v>47</v>
      </c>
      <c r="C27" s="15" t="s">
        <v>29</v>
      </c>
      <c r="D27" s="15" t="s">
        <v>91</v>
      </c>
      <c r="E27" s="15" t="s">
        <v>92</v>
      </c>
      <c r="F27" s="16">
        <v>774580822</v>
      </c>
      <c r="G27" s="15" t="s">
        <v>15</v>
      </c>
      <c r="H27" s="15" t="s">
        <v>13</v>
      </c>
      <c r="I27" s="15" t="s">
        <v>16</v>
      </c>
      <c r="J27" s="15" t="s">
        <v>20</v>
      </c>
      <c r="K27" s="15" t="s">
        <v>42</v>
      </c>
      <c r="L27" s="15">
        <v>25</v>
      </c>
      <c r="M27" s="17">
        <v>9000</v>
      </c>
      <c r="N27" s="17">
        <v>225000</v>
      </c>
      <c r="O27" s="18" t="str">
        <f>"S"&amp;_xlfn.ISOWEEKNUM(Semaine_1[[#This Row],[Date]])</f>
        <v>S24</v>
      </c>
      <c r="P27" s="19" t="str">
        <f>TEXT(Semaine_1[[#This Row],[Date]],"MMMM")</f>
        <v>juin</v>
      </c>
    </row>
    <row r="28" spans="1:16" ht="28.15" x14ac:dyDescent="0.45">
      <c r="A28" s="14">
        <v>46185</v>
      </c>
      <c r="B28" s="15" t="s">
        <v>47</v>
      </c>
      <c r="C28" s="15" t="s">
        <v>29</v>
      </c>
      <c r="D28" s="15" t="s">
        <v>93</v>
      </c>
      <c r="E28" s="15" t="s">
        <v>94</v>
      </c>
      <c r="F28" s="16">
        <v>773531341</v>
      </c>
      <c r="G28" s="15" t="s">
        <v>15</v>
      </c>
      <c r="H28" s="15" t="s">
        <v>13</v>
      </c>
      <c r="I28" s="15" t="s">
        <v>16</v>
      </c>
      <c r="J28" s="15" t="s">
        <v>20</v>
      </c>
      <c r="K28" s="15" t="s">
        <v>28</v>
      </c>
      <c r="L28" s="15">
        <v>100</v>
      </c>
      <c r="M28" s="17">
        <v>26000</v>
      </c>
      <c r="N28" s="17">
        <v>2600000</v>
      </c>
      <c r="O28" s="18" t="str">
        <f>"S"&amp;_xlfn.ISOWEEKNUM(Semaine_1[[#This Row],[Date]])</f>
        <v>S24</v>
      </c>
      <c r="P28" s="19" t="str">
        <f>TEXT(Semaine_1[[#This Row],[Date]],"MMMM")</f>
        <v>juin</v>
      </c>
    </row>
    <row r="29" spans="1:16" ht="28.15" x14ac:dyDescent="0.45">
      <c r="A29" s="14">
        <v>46185</v>
      </c>
      <c r="B29" s="15" t="s">
        <v>49</v>
      </c>
      <c r="C29" s="15" t="s">
        <v>43</v>
      </c>
      <c r="D29" s="15" t="s">
        <v>88</v>
      </c>
      <c r="E29" s="15" t="s">
        <v>95</v>
      </c>
      <c r="F29" s="16">
        <v>773178746</v>
      </c>
      <c r="G29" s="15" t="s">
        <v>15</v>
      </c>
      <c r="H29" s="15" t="s">
        <v>13</v>
      </c>
      <c r="I29" s="15" t="s">
        <v>16</v>
      </c>
      <c r="J29" s="15" t="s">
        <v>20</v>
      </c>
      <c r="K29" s="15" t="s">
        <v>64</v>
      </c>
      <c r="L29" s="15">
        <v>13</v>
      </c>
      <c r="M29" s="17">
        <v>26500</v>
      </c>
      <c r="N29" s="17">
        <v>344500</v>
      </c>
      <c r="O29" s="18" t="str">
        <f>"S"&amp;_xlfn.ISOWEEKNUM(Semaine_1[[#This Row],[Date]])</f>
        <v>S24</v>
      </c>
      <c r="P29" s="19" t="str">
        <f>TEXT(Semaine_1[[#This Row],[Date]],"MMMM")</f>
        <v>juin</v>
      </c>
    </row>
    <row r="30" spans="1:16" ht="28.15" x14ac:dyDescent="0.45">
      <c r="A30" s="14">
        <v>46185</v>
      </c>
      <c r="B30" s="15" t="s">
        <v>49</v>
      </c>
      <c r="C30" s="15" t="s">
        <v>43</v>
      </c>
      <c r="D30" s="15" t="s">
        <v>88</v>
      </c>
      <c r="E30" s="15" t="s">
        <v>96</v>
      </c>
      <c r="F30" s="16">
        <v>771495907</v>
      </c>
      <c r="G30" s="15" t="s">
        <v>15</v>
      </c>
      <c r="H30" s="15" t="s">
        <v>36</v>
      </c>
      <c r="I30" s="15" t="s">
        <v>16</v>
      </c>
      <c r="J30" s="15" t="s">
        <v>20</v>
      </c>
      <c r="K30" s="15" t="s">
        <v>64</v>
      </c>
      <c r="L30" s="15">
        <v>13</v>
      </c>
      <c r="M30" s="17">
        <v>26500</v>
      </c>
      <c r="N30" s="17">
        <v>344500</v>
      </c>
      <c r="O30" s="18" t="str">
        <f>"S"&amp;_xlfn.ISOWEEKNUM(Semaine_1[[#This Row],[Date]])</f>
        <v>S24</v>
      </c>
      <c r="P30" s="19" t="str">
        <f>TEXT(Semaine_1[[#This Row],[Date]],"MMMM")</f>
        <v>juin</v>
      </c>
    </row>
    <row r="31" spans="1:16" ht="28.15" x14ac:dyDescent="0.45">
      <c r="A31" s="14">
        <v>46185</v>
      </c>
      <c r="B31" s="15" t="s">
        <v>49</v>
      </c>
      <c r="C31" s="15" t="s">
        <v>43</v>
      </c>
      <c r="D31" s="15" t="s">
        <v>88</v>
      </c>
      <c r="E31" s="15" t="s">
        <v>97</v>
      </c>
      <c r="F31" s="16">
        <v>774091250</v>
      </c>
      <c r="G31" s="15" t="s">
        <v>15</v>
      </c>
      <c r="H31" s="15" t="s">
        <v>36</v>
      </c>
      <c r="I31" s="15" t="s">
        <v>16</v>
      </c>
      <c r="J31" s="15" t="s">
        <v>20</v>
      </c>
      <c r="K31" s="15" t="s">
        <v>64</v>
      </c>
      <c r="L31" s="15">
        <v>1</v>
      </c>
      <c r="M31" s="17">
        <v>26500</v>
      </c>
      <c r="N31" s="17">
        <v>26500</v>
      </c>
      <c r="O31" s="18" t="str">
        <f>"S"&amp;_xlfn.ISOWEEKNUM(Semaine_1[[#This Row],[Date]])</f>
        <v>S24</v>
      </c>
      <c r="P31" s="19" t="str">
        <f>TEXT(Semaine_1[[#This Row],[Date]],"MMMM")</f>
        <v>juin</v>
      </c>
    </row>
    <row r="32" spans="1:16" ht="28.15" x14ac:dyDescent="0.45">
      <c r="A32" s="14">
        <v>46185</v>
      </c>
      <c r="B32" s="15" t="s">
        <v>49</v>
      </c>
      <c r="C32" s="15" t="s">
        <v>43</v>
      </c>
      <c r="D32" s="15" t="s">
        <v>88</v>
      </c>
      <c r="E32" s="15" t="s">
        <v>89</v>
      </c>
      <c r="F32" s="16">
        <v>777854561</v>
      </c>
      <c r="G32" s="15" t="s">
        <v>24</v>
      </c>
      <c r="H32" s="15" t="s">
        <v>36</v>
      </c>
      <c r="I32" s="15" t="s">
        <v>16</v>
      </c>
      <c r="J32" s="15" t="s">
        <v>20</v>
      </c>
      <c r="K32" s="15" t="s">
        <v>98</v>
      </c>
      <c r="L32" s="15">
        <v>1</v>
      </c>
      <c r="M32" s="17">
        <v>4500</v>
      </c>
      <c r="N32" s="17">
        <v>4500</v>
      </c>
      <c r="O32" s="18" t="str">
        <f>"S"&amp;_xlfn.ISOWEEKNUM(Semaine_1[[#This Row],[Date]])</f>
        <v>S24</v>
      </c>
      <c r="P32" s="19" t="str">
        <f>TEXT(Semaine_1[[#This Row],[Date]],"MMMM")</f>
        <v>juin</v>
      </c>
    </row>
    <row r="33" spans="1:16" ht="28.15" x14ac:dyDescent="0.45">
      <c r="A33" s="14">
        <v>46185</v>
      </c>
      <c r="B33" s="15" t="s">
        <v>49</v>
      </c>
      <c r="C33" s="15" t="s">
        <v>43</v>
      </c>
      <c r="D33" s="15" t="s">
        <v>88</v>
      </c>
      <c r="E33" s="15" t="s">
        <v>89</v>
      </c>
      <c r="F33" s="16">
        <v>777854561</v>
      </c>
      <c r="G33" s="15" t="s">
        <v>24</v>
      </c>
      <c r="H33" s="15" t="s">
        <v>36</v>
      </c>
      <c r="I33" s="15" t="s">
        <v>16</v>
      </c>
      <c r="J33" s="15" t="s">
        <v>20</v>
      </c>
      <c r="K33" s="15" t="s">
        <v>99</v>
      </c>
      <c r="L33" s="15">
        <v>10</v>
      </c>
      <c r="M33" s="17">
        <v>11000</v>
      </c>
      <c r="N33" s="17">
        <v>110000</v>
      </c>
      <c r="O33" s="18" t="str">
        <f>"S"&amp;_xlfn.ISOWEEKNUM(Semaine_1[[#This Row],[Date]])</f>
        <v>S24</v>
      </c>
      <c r="P33" s="19" t="str">
        <f>TEXT(Semaine_1[[#This Row],[Date]],"MMMM")</f>
        <v>juin</v>
      </c>
    </row>
    <row r="34" spans="1:16" x14ac:dyDescent="0.45">
      <c r="A34" s="14">
        <v>46185</v>
      </c>
      <c r="B34" s="15" t="s">
        <v>45</v>
      </c>
      <c r="C34" s="15" t="s">
        <v>25</v>
      </c>
      <c r="D34" s="15" t="s">
        <v>100</v>
      </c>
      <c r="E34" s="15" t="s">
        <v>101</v>
      </c>
      <c r="F34" s="16">
        <v>771078008</v>
      </c>
      <c r="G34" s="15" t="s">
        <v>15</v>
      </c>
      <c r="H34" s="15" t="s">
        <v>13</v>
      </c>
      <c r="I34" s="15" t="s">
        <v>16</v>
      </c>
      <c r="J34" s="15" t="s">
        <v>26</v>
      </c>
      <c r="K34" s="15" t="s">
        <v>42</v>
      </c>
      <c r="L34" s="15">
        <v>10</v>
      </c>
      <c r="M34" s="17">
        <v>9000</v>
      </c>
      <c r="N34" s="17">
        <v>90000</v>
      </c>
      <c r="O34" s="18" t="str">
        <f>"S"&amp;_xlfn.ISOWEEKNUM(Semaine_1[[#This Row],[Date]])</f>
        <v>S24</v>
      </c>
      <c r="P34" s="19" t="str">
        <f>TEXT(Semaine_1[[#This Row],[Date]],"MMMM")</f>
        <v>juin</v>
      </c>
    </row>
    <row r="35" spans="1:16" x14ac:dyDescent="0.45">
      <c r="A35" s="14">
        <v>46185</v>
      </c>
      <c r="B35" s="15" t="s">
        <v>45</v>
      </c>
      <c r="C35" s="15" t="s">
        <v>25</v>
      </c>
      <c r="D35" s="15" t="s">
        <v>27</v>
      </c>
      <c r="E35" s="15" t="s">
        <v>102</v>
      </c>
      <c r="F35" s="16">
        <v>776634479</v>
      </c>
      <c r="G35" s="15" t="s">
        <v>15</v>
      </c>
      <c r="H35" s="15" t="s">
        <v>13</v>
      </c>
      <c r="I35" s="15" t="s">
        <v>16</v>
      </c>
      <c r="J35" s="15" t="s">
        <v>26</v>
      </c>
      <c r="K35" s="15" t="s">
        <v>40</v>
      </c>
      <c r="L35" s="15">
        <v>3</v>
      </c>
      <c r="M35" s="17">
        <v>19500</v>
      </c>
      <c r="N35" s="17">
        <v>58500</v>
      </c>
      <c r="O35" s="18" t="str">
        <f>"S"&amp;_xlfn.ISOWEEKNUM(Semaine_1[[#This Row],[Date]])</f>
        <v>S24</v>
      </c>
      <c r="P35" s="19" t="str">
        <f>TEXT(Semaine_1[[#This Row],[Date]],"MMMM")</f>
        <v>juin</v>
      </c>
    </row>
    <row r="36" spans="1:16" x14ac:dyDescent="0.45">
      <c r="A36" s="14">
        <v>46185</v>
      </c>
      <c r="B36" s="15" t="s">
        <v>45</v>
      </c>
      <c r="C36" s="15" t="s">
        <v>25</v>
      </c>
      <c r="D36" s="15" t="s">
        <v>27</v>
      </c>
      <c r="E36" s="15" t="s">
        <v>102</v>
      </c>
      <c r="F36" s="16">
        <v>776634479</v>
      </c>
      <c r="G36" s="15" t="s">
        <v>15</v>
      </c>
      <c r="H36" s="15" t="s">
        <v>13</v>
      </c>
      <c r="I36" s="15" t="s">
        <v>16</v>
      </c>
      <c r="J36" s="15" t="s">
        <v>26</v>
      </c>
      <c r="K36" s="15" t="s">
        <v>103</v>
      </c>
      <c r="L36" s="15">
        <v>1</v>
      </c>
      <c r="M36" s="17">
        <v>15500</v>
      </c>
      <c r="N36" s="17">
        <v>15500</v>
      </c>
      <c r="O36" s="18" t="str">
        <f>"S"&amp;_xlfn.ISOWEEKNUM(Semaine_1[[#This Row],[Date]])</f>
        <v>S24</v>
      </c>
      <c r="P36" s="19" t="str">
        <f>TEXT(Semaine_1[[#This Row],[Date]],"MMMM")</f>
        <v>juin</v>
      </c>
    </row>
    <row r="37" spans="1:16" x14ac:dyDescent="0.45">
      <c r="A37" s="14">
        <v>46185</v>
      </c>
      <c r="B37" s="15" t="s">
        <v>45</v>
      </c>
      <c r="C37" s="15" t="s">
        <v>25</v>
      </c>
      <c r="D37" s="15" t="s">
        <v>27</v>
      </c>
      <c r="E37" s="15" t="s">
        <v>104</v>
      </c>
      <c r="F37" s="16">
        <v>775884054</v>
      </c>
      <c r="G37" s="15" t="s">
        <v>24</v>
      </c>
      <c r="H37" s="15" t="s">
        <v>13</v>
      </c>
      <c r="I37" s="15" t="s">
        <v>16</v>
      </c>
      <c r="J37" s="15" t="s">
        <v>26</v>
      </c>
      <c r="K37" s="15" t="s">
        <v>40</v>
      </c>
      <c r="L37" s="15">
        <v>2</v>
      </c>
      <c r="M37" s="17">
        <v>19500</v>
      </c>
      <c r="N37" s="17">
        <v>39000</v>
      </c>
      <c r="O37" s="18" t="str">
        <f>"S"&amp;_xlfn.ISOWEEKNUM(Semaine_1[[#This Row],[Date]])</f>
        <v>S24</v>
      </c>
      <c r="P37" s="19" t="str">
        <f>TEXT(Semaine_1[[#This Row],[Date]],"MMMM")</f>
        <v>juin</v>
      </c>
    </row>
    <row r="38" spans="1:16" x14ac:dyDescent="0.45">
      <c r="A38" s="14">
        <v>46185</v>
      </c>
      <c r="B38" s="15" t="s">
        <v>45</v>
      </c>
      <c r="C38" s="15" t="s">
        <v>25</v>
      </c>
      <c r="D38" s="15" t="s">
        <v>105</v>
      </c>
      <c r="E38" s="15" t="s">
        <v>106</v>
      </c>
      <c r="F38" s="16">
        <v>781681995</v>
      </c>
      <c r="G38" s="15" t="s">
        <v>24</v>
      </c>
      <c r="H38" s="15" t="s">
        <v>13</v>
      </c>
      <c r="I38" s="15" t="s">
        <v>16</v>
      </c>
      <c r="J38" s="15" t="s">
        <v>26</v>
      </c>
      <c r="K38" s="15" t="s">
        <v>103</v>
      </c>
      <c r="L38" s="15">
        <v>1</v>
      </c>
      <c r="M38" s="17">
        <v>15500</v>
      </c>
      <c r="N38" s="17">
        <v>15500</v>
      </c>
      <c r="O38" s="18" t="str">
        <f>"S"&amp;_xlfn.ISOWEEKNUM(Semaine_1[[#This Row],[Date]])</f>
        <v>S24</v>
      </c>
      <c r="P38" s="19" t="str">
        <f>TEXT(Semaine_1[[#This Row],[Date]],"MMMM")</f>
        <v>juin</v>
      </c>
    </row>
    <row r="39" spans="1:16" x14ac:dyDescent="0.45">
      <c r="A39" s="14">
        <v>46185</v>
      </c>
      <c r="B39" s="15" t="s">
        <v>45</v>
      </c>
      <c r="C39" s="15" t="s">
        <v>25</v>
      </c>
      <c r="D39" s="15" t="s">
        <v>105</v>
      </c>
      <c r="E39" s="15" t="s">
        <v>106</v>
      </c>
      <c r="F39" s="16">
        <v>781681995</v>
      </c>
      <c r="G39" s="15" t="s">
        <v>24</v>
      </c>
      <c r="H39" s="15" t="s">
        <v>13</v>
      </c>
      <c r="I39" s="15" t="s">
        <v>16</v>
      </c>
      <c r="J39" s="15" t="s">
        <v>26</v>
      </c>
      <c r="K39" s="15" t="s">
        <v>98</v>
      </c>
      <c r="L39" s="15">
        <v>1</v>
      </c>
      <c r="M39" s="17">
        <v>4500</v>
      </c>
      <c r="N39" s="17">
        <v>4500</v>
      </c>
      <c r="O39" s="18" t="str">
        <f>"S"&amp;_xlfn.ISOWEEKNUM(Semaine_1[[#This Row],[Date]])</f>
        <v>S24</v>
      </c>
      <c r="P39" s="19" t="str">
        <f>TEXT(Semaine_1[[#This Row],[Date]],"MMMM")</f>
        <v>juin</v>
      </c>
    </row>
    <row r="40" spans="1:16" ht="28.15" x14ac:dyDescent="0.45">
      <c r="A40" s="14">
        <v>46184</v>
      </c>
      <c r="B40" s="15" t="s">
        <v>47</v>
      </c>
      <c r="C40" s="15" t="s">
        <v>29</v>
      </c>
      <c r="D40" s="15" t="s">
        <v>30</v>
      </c>
      <c r="E40" s="15" t="s">
        <v>107</v>
      </c>
      <c r="F40" s="16">
        <v>776428218</v>
      </c>
      <c r="G40" s="15" t="s">
        <v>24</v>
      </c>
      <c r="H40" s="15" t="s">
        <v>13</v>
      </c>
      <c r="I40" s="15" t="s">
        <v>16</v>
      </c>
      <c r="J40" s="15" t="s">
        <v>20</v>
      </c>
      <c r="K40" s="15" t="s">
        <v>28</v>
      </c>
      <c r="L40" s="15">
        <v>25</v>
      </c>
      <c r="M40" s="17">
        <v>26000</v>
      </c>
      <c r="N40" s="17">
        <v>650000</v>
      </c>
      <c r="O40" s="18" t="str">
        <f>"S"&amp;_xlfn.ISOWEEKNUM(Semaine_1[[#This Row],[Date]])</f>
        <v>S24</v>
      </c>
      <c r="P40" s="19" t="str">
        <f>TEXT(Semaine_1[[#This Row],[Date]],"MMMM")</f>
        <v>juin</v>
      </c>
    </row>
    <row r="41" spans="1:16" ht="28.15" x14ac:dyDescent="0.45">
      <c r="A41" s="14">
        <v>46184</v>
      </c>
      <c r="B41" s="15" t="s">
        <v>47</v>
      </c>
      <c r="C41" s="15" t="s">
        <v>29</v>
      </c>
      <c r="D41" s="15" t="s">
        <v>30</v>
      </c>
      <c r="E41" s="15" t="s">
        <v>108</v>
      </c>
      <c r="F41" s="16">
        <v>774245132</v>
      </c>
      <c r="G41" s="15" t="s">
        <v>15</v>
      </c>
      <c r="H41" s="15" t="s">
        <v>13</v>
      </c>
      <c r="I41" s="15" t="s">
        <v>16</v>
      </c>
      <c r="J41" s="15" t="s">
        <v>20</v>
      </c>
      <c r="K41" s="15" t="s">
        <v>28</v>
      </c>
      <c r="L41" s="15">
        <v>50</v>
      </c>
      <c r="M41" s="17">
        <v>26000</v>
      </c>
      <c r="N41" s="17">
        <v>1300000</v>
      </c>
      <c r="O41" s="18" t="str">
        <f>"S"&amp;_xlfn.ISOWEEKNUM(Semaine_1[[#This Row],[Date]])</f>
        <v>S24</v>
      </c>
      <c r="P41" s="19" t="str">
        <f>TEXT(Semaine_1[[#This Row],[Date]],"MMMM")</f>
        <v>juin</v>
      </c>
    </row>
    <row r="42" spans="1:16" ht="28.15" x14ac:dyDescent="0.45">
      <c r="A42" s="14">
        <v>46184</v>
      </c>
      <c r="B42" s="15" t="s">
        <v>47</v>
      </c>
      <c r="C42" s="15" t="s">
        <v>29</v>
      </c>
      <c r="D42" s="15" t="s">
        <v>56</v>
      </c>
      <c r="E42" s="15" t="s">
        <v>109</v>
      </c>
      <c r="F42" s="16">
        <v>775541532</v>
      </c>
      <c r="G42" s="15" t="s">
        <v>15</v>
      </c>
      <c r="H42" s="15" t="s">
        <v>13</v>
      </c>
      <c r="I42" s="15" t="s">
        <v>16</v>
      </c>
      <c r="J42" s="15" t="s">
        <v>20</v>
      </c>
      <c r="K42" s="15" t="s">
        <v>28</v>
      </c>
      <c r="L42" s="15">
        <v>25</v>
      </c>
      <c r="M42" s="17">
        <v>26000</v>
      </c>
      <c r="N42" s="17">
        <v>650000</v>
      </c>
      <c r="O42" s="18" t="str">
        <f>"S"&amp;_xlfn.ISOWEEKNUM(Semaine_1[[#This Row],[Date]])</f>
        <v>S24</v>
      </c>
      <c r="P42" s="19" t="str">
        <f>TEXT(Semaine_1[[#This Row],[Date]],"MMMM")</f>
        <v>juin</v>
      </c>
    </row>
    <row r="43" spans="1:16" ht="28.15" x14ac:dyDescent="0.45">
      <c r="A43" s="14">
        <v>46184</v>
      </c>
      <c r="B43" s="15" t="s">
        <v>49</v>
      </c>
      <c r="C43" s="15" t="s">
        <v>43</v>
      </c>
      <c r="D43" s="15" t="s">
        <v>58</v>
      </c>
      <c r="E43" s="15" t="s">
        <v>110</v>
      </c>
      <c r="F43" s="16">
        <v>771207041</v>
      </c>
      <c r="G43" s="15" t="s">
        <v>15</v>
      </c>
      <c r="H43" s="15" t="s">
        <v>13</v>
      </c>
      <c r="I43" s="15" t="s">
        <v>16</v>
      </c>
      <c r="J43" s="15" t="s">
        <v>20</v>
      </c>
      <c r="K43" s="15" t="s">
        <v>28</v>
      </c>
      <c r="L43" s="15">
        <v>25</v>
      </c>
      <c r="M43" s="17">
        <v>26000</v>
      </c>
      <c r="N43" s="17">
        <v>650000</v>
      </c>
      <c r="O43" s="18" t="str">
        <f>"S"&amp;_xlfn.ISOWEEKNUM(Semaine_1[[#This Row],[Date]])</f>
        <v>S24</v>
      </c>
      <c r="P43" s="19" t="str">
        <f>TEXT(Semaine_1[[#This Row],[Date]],"MMMM")</f>
        <v>juin</v>
      </c>
    </row>
    <row r="44" spans="1:16" ht="28.15" x14ac:dyDescent="0.45">
      <c r="A44" s="14">
        <v>46184</v>
      </c>
      <c r="B44" s="15" t="s">
        <v>47</v>
      </c>
      <c r="C44" s="15" t="s">
        <v>29</v>
      </c>
      <c r="D44" s="15" t="s">
        <v>111</v>
      </c>
      <c r="E44" s="15" t="s">
        <v>112</v>
      </c>
      <c r="F44" s="16">
        <v>778056161</v>
      </c>
      <c r="G44" s="15" t="s">
        <v>15</v>
      </c>
      <c r="H44" s="15" t="s">
        <v>13</v>
      </c>
      <c r="I44" s="15" t="s">
        <v>16</v>
      </c>
      <c r="J44" s="15" t="s">
        <v>20</v>
      </c>
      <c r="K44" s="15" t="s">
        <v>28</v>
      </c>
      <c r="L44" s="15">
        <v>25</v>
      </c>
      <c r="M44" s="17">
        <v>26000</v>
      </c>
      <c r="N44" s="17">
        <v>650000</v>
      </c>
      <c r="O44" s="18" t="str">
        <f>"S"&amp;_xlfn.ISOWEEKNUM(Semaine_1[[#This Row],[Date]])</f>
        <v>S24</v>
      </c>
      <c r="P44" s="19" t="str">
        <f>TEXT(Semaine_1[[#This Row],[Date]],"MMMM")</f>
        <v>juin</v>
      </c>
    </row>
    <row r="45" spans="1:16" ht="28.15" x14ac:dyDescent="0.45">
      <c r="A45" s="14">
        <v>46184</v>
      </c>
      <c r="B45" s="15" t="s">
        <v>47</v>
      </c>
      <c r="C45" s="15" t="s">
        <v>29</v>
      </c>
      <c r="D45" s="15" t="s">
        <v>113</v>
      </c>
      <c r="E45" s="15" t="s">
        <v>114</v>
      </c>
      <c r="F45" s="16">
        <v>775213948</v>
      </c>
      <c r="G45" s="15" t="s">
        <v>24</v>
      </c>
      <c r="H45" s="15" t="s">
        <v>13</v>
      </c>
      <c r="I45" s="15" t="s">
        <v>16</v>
      </c>
      <c r="J45" s="15" t="s">
        <v>20</v>
      </c>
      <c r="K45" s="15" t="s">
        <v>28</v>
      </c>
      <c r="L45" s="15">
        <v>25</v>
      </c>
      <c r="M45" s="17">
        <v>26000</v>
      </c>
      <c r="N45" s="17">
        <v>650000</v>
      </c>
      <c r="O45" s="18" t="str">
        <f>"S"&amp;_xlfn.ISOWEEKNUM(Semaine_1[[#This Row],[Date]])</f>
        <v>S24</v>
      </c>
      <c r="P45" s="19" t="str">
        <f>TEXT(Semaine_1[[#This Row],[Date]],"MMMM")</f>
        <v>juin</v>
      </c>
    </row>
    <row r="46" spans="1:16" ht="28.15" x14ac:dyDescent="0.45">
      <c r="A46" s="14">
        <v>46183</v>
      </c>
      <c r="B46" s="15" t="s">
        <v>47</v>
      </c>
      <c r="C46" s="15" t="s">
        <v>29</v>
      </c>
      <c r="D46" s="15" t="s">
        <v>30</v>
      </c>
      <c r="E46" s="15" t="s">
        <v>115</v>
      </c>
      <c r="F46" s="16">
        <v>775411094</v>
      </c>
      <c r="G46" s="15" t="s">
        <v>15</v>
      </c>
      <c r="H46" s="15" t="s">
        <v>13</v>
      </c>
      <c r="I46" s="15" t="s">
        <v>16</v>
      </c>
      <c r="J46" s="15" t="s">
        <v>20</v>
      </c>
      <c r="K46" s="15" t="s">
        <v>28</v>
      </c>
      <c r="L46" s="15">
        <v>50</v>
      </c>
      <c r="M46" s="17">
        <v>26000</v>
      </c>
      <c r="N46" s="17">
        <v>1300000</v>
      </c>
      <c r="O46" s="18" t="str">
        <f>"S"&amp;_xlfn.ISOWEEKNUM(Semaine_1[[#This Row],[Date]])</f>
        <v>S24</v>
      </c>
      <c r="P46" s="19" t="str">
        <f>TEXT(Semaine_1[[#This Row],[Date]],"MMMM")</f>
        <v>juin</v>
      </c>
    </row>
    <row r="47" spans="1:16" ht="28.15" x14ac:dyDescent="0.45">
      <c r="A47" s="14">
        <v>46183</v>
      </c>
      <c r="B47" s="15" t="s">
        <v>47</v>
      </c>
      <c r="C47" s="15" t="s">
        <v>29</v>
      </c>
      <c r="D47" s="15" t="s">
        <v>93</v>
      </c>
      <c r="E47" s="15" t="s">
        <v>94</v>
      </c>
      <c r="F47" s="16">
        <v>773531341</v>
      </c>
      <c r="G47" s="15" t="s">
        <v>15</v>
      </c>
      <c r="H47" s="15" t="s">
        <v>13</v>
      </c>
      <c r="I47" s="15" t="s">
        <v>16</v>
      </c>
      <c r="J47" s="15" t="s">
        <v>20</v>
      </c>
      <c r="K47" s="15" t="s">
        <v>28</v>
      </c>
      <c r="L47" s="15">
        <v>100</v>
      </c>
      <c r="M47" s="17">
        <v>26000</v>
      </c>
      <c r="N47" s="17">
        <v>2600000</v>
      </c>
      <c r="O47" s="18" t="str">
        <f>"S"&amp;_xlfn.ISOWEEKNUM(Semaine_1[[#This Row],[Date]])</f>
        <v>S24</v>
      </c>
      <c r="P47" s="19" t="str">
        <f>TEXT(Semaine_1[[#This Row],[Date]],"MMMM")</f>
        <v>juin</v>
      </c>
    </row>
    <row r="48" spans="1:16" ht="28.15" x14ac:dyDescent="0.45">
      <c r="A48" s="14">
        <v>46183</v>
      </c>
      <c r="B48" s="15" t="s">
        <v>47</v>
      </c>
      <c r="C48" s="15" t="s">
        <v>29</v>
      </c>
      <c r="D48" s="15" t="s">
        <v>116</v>
      </c>
      <c r="E48" s="15" t="s">
        <v>117</v>
      </c>
      <c r="F48" s="16">
        <v>773340367</v>
      </c>
      <c r="G48" s="15" t="s">
        <v>24</v>
      </c>
      <c r="H48" s="15" t="s">
        <v>13</v>
      </c>
      <c r="I48" s="15" t="s">
        <v>16</v>
      </c>
      <c r="J48" s="15" t="s">
        <v>20</v>
      </c>
      <c r="K48" s="15" t="s">
        <v>42</v>
      </c>
      <c r="L48" s="15">
        <v>10</v>
      </c>
      <c r="M48" s="17">
        <v>9000</v>
      </c>
      <c r="N48" s="17">
        <v>90000</v>
      </c>
      <c r="O48" s="18" t="str">
        <f>"S"&amp;_xlfn.ISOWEEKNUM(Semaine_1[[#This Row],[Date]])</f>
        <v>S24</v>
      </c>
      <c r="P48" s="19" t="str">
        <f>TEXT(Semaine_1[[#This Row],[Date]],"MMMM")</f>
        <v>juin</v>
      </c>
    </row>
    <row r="49" spans="1:16" ht="28.15" x14ac:dyDescent="0.45">
      <c r="A49" s="14">
        <v>46183</v>
      </c>
      <c r="B49" s="15" t="s">
        <v>47</v>
      </c>
      <c r="C49" s="15" t="s">
        <v>29</v>
      </c>
      <c r="D49" s="15" t="s">
        <v>116</v>
      </c>
      <c r="E49" s="15" t="s">
        <v>117</v>
      </c>
      <c r="F49" s="16">
        <v>773340367</v>
      </c>
      <c r="G49" s="15" t="s">
        <v>24</v>
      </c>
      <c r="H49" s="15" t="s">
        <v>13</v>
      </c>
      <c r="I49" s="15" t="s">
        <v>16</v>
      </c>
      <c r="J49" s="15" t="s">
        <v>20</v>
      </c>
      <c r="K49" s="15" t="s">
        <v>90</v>
      </c>
      <c r="L49" s="15">
        <v>10</v>
      </c>
      <c r="M49" s="17">
        <v>9000</v>
      </c>
      <c r="N49" s="17">
        <v>90000</v>
      </c>
      <c r="O49" s="18" t="str">
        <f>"S"&amp;_xlfn.ISOWEEKNUM(Semaine_1[[#This Row],[Date]])</f>
        <v>S24</v>
      </c>
      <c r="P49" s="19" t="str">
        <f>TEXT(Semaine_1[[#This Row],[Date]],"MMMM")</f>
        <v>juin</v>
      </c>
    </row>
    <row r="50" spans="1:16" ht="28.15" x14ac:dyDescent="0.45">
      <c r="A50" s="14">
        <v>46183</v>
      </c>
      <c r="B50" s="15" t="s">
        <v>47</v>
      </c>
      <c r="C50" s="15" t="s">
        <v>29</v>
      </c>
      <c r="D50" s="15" t="s">
        <v>113</v>
      </c>
      <c r="E50" s="15" t="s">
        <v>118</v>
      </c>
      <c r="F50" s="16">
        <v>779420909</v>
      </c>
      <c r="G50" s="15" t="s">
        <v>24</v>
      </c>
      <c r="H50" s="15" t="s">
        <v>13</v>
      </c>
      <c r="I50" s="15" t="s">
        <v>16</v>
      </c>
      <c r="J50" s="15" t="s">
        <v>20</v>
      </c>
      <c r="K50" s="15" t="s">
        <v>90</v>
      </c>
      <c r="L50" s="15">
        <v>10</v>
      </c>
      <c r="M50" s="17">
        <v>9000</v>
      </c>
      <c r="N50" s="17">
        <v>90000</v>
      </c>
      <c r="O50" s="18" t="str">
        <f>"S"&amp;_xlfn.ISOWEEKNUM(Semaine_1[[#This Row],[Date]])</f>
        <v>S24</v>
      </c>
      <c r="P50" s="19" t="str">
        <f>TEXT(Semaine_1[[#This Row],[Date]],"MMMM")</f>
        <v>juin</v>
      </c>
    </row>
    <row r="51" spans="1:16" ht="28.15" x14ac:dyDescent="0.45">
      <c r="A51" s="14">
        <v>46183</v>
      </c>
      <c r="B51" s="15" t="s">
        <v>37</v>
      </c>
      <c r="C51" s="15" t="s">
        <v>31</v>
      </c>
      <c r="D51" s="15" t="s">
        <v>31</v>
      </c>
      <c r="E51" s="15" t="s">
        <v>119</v>
      </c>
      <c r="F51" s="16">
        <v>770712599</v>
      </c>
      <c r="G51" s="15" t="s">
        <v>15</v>
      </c>
      <c r="H51" s="15" t="s">
        <v>13</v>
      </c>
      <c r="I51" s="15" t="s">
        <v>16</v>
      </c>
      <c r="J51" s="15" t="s">
        <v>120</v>
      </c>
      <c r="K51" s="15" t="s">
        <v>64</v>
      </c>
      <c r="L51" s="15">
        <v>100</v>
      </c>
      <c r="M51" s="17">
        <v>26000</v>
      </c>
      <c r="N51" s="17">
        <v>2600000</v>
      </c>
      <c r="O51" s="18" t="str">
        <f>"S"&amp;_xlfn.ISOWEEKNUM(Semaine_1[[#This Row],[Date]])</f>
        <v>S24</v>
      </c>
      <c r="P51" s="19" t="str">
        <f>TEXT(Semaine_1[[#This Row],[Date]],"MMMM")</f>
        <v>juin</v>
      </c>
    </row>
    <row r="52" spans="1:16" ht="28.15" x14ac:dyDescent="0.45">
      <c r="A52" s="14">
        <v>46183</v>
      </c>
      <c r="B52" s="15" t="s">
        <v>49</v>
      </c>
      <c r="C52" s="15" t="s">
        <v>43</v>
      </c>
      <c r="D52" s="15" t="s">
        <v>121</v>
      </c>
      <c r="E52" s="15" t="s">
        <v>66</v>
      </c>
      <c r="F52" s="16">
        <v>772403781</v>
      </c>
      <c r="G52" s="15" t="s">
        <v>15</v>
      </c>
      <c r="H52" s="15" t="s">
        <v>13</v>
      </c>
      <c r="I52" s="15" t="s">
        <v>16</v>
      </c>
      <c r="J52" s="15" t="s">
        <v>20</v>
      </c>
      <c r="K52" s="15" t="s">
        <v>28</v>
      </c>
      <c r="L52" s="15">
        <v>25</v>
      </c>
      <c r="M52" s="17">
        <v>26000</v>
      </c>
      <c r="N52" s="17">
        <v>650000</v>
      </c>
      <c r="O52" s="18" t="str">
        <f>"S"&amp;_xlfn.ISOWEEKNUM(Semaine_1[[#This Row],[Date]])</f>
        <v>S24</v>
      </c>
      <c r="P52" s="19" t="str">
        <f>TEXT(Semaine_1[[#This Row],[Date]],"MMMM")</f>
        <v>juin</v>
      </c>
    </row>
    <row r="53" spans="1:16" x14ac:dyDescent="0.45">
      <c r="A53" s="14">
        <v>46182</v>
      </c>
      <c r="B53" s="15" t="s">
        <v>37</v>
      </c>
      <c r="C53" s="15" t="s">
        <v>31</v>
      </c>
      <c r="D53" s="15" t="s">
        <v>122</v>
      </c>
      <c r="E53" s="15" t="s">
        <v>123</v>
      </c>
      <c r="F53" s="16">
        <v>783758073</v>
      </c>
      <c r="G53" s="15" t="s">
        <v>15</v>
      </c>
      <c r="H53" s="15" t="s">
        <v>13</v>
      </c>
      <c r="I53" s="15" t="s">
        <v>16</v>
      </c>
      <c r="J53" s="15" t="s">
        <v>124</v>
      </c>
      <c r="K53" s="15" t="s">
        <v>40</v>
      </c>
      <c r="L53" s="15">
        <v>25</v>
      </c>
      <c r="M53" s="17">
        <v>19500</v>
      </c>
      <c r="N53" s="17">
        <v>487500</v>
      </c>
      <c r="O53" s="18" t="str">
        <f>"S"&amp;_xlfn.ISOWEEKNUM(Semaine_1[[#This Row],[Date]])</f>
        <v>S24</v>
      </c>
      <c r="P53" s="19" t="str">
        <f>TEXT(Semaine_1[[#This Row],[Date]],"MMMM")</f>
        <v>juin</v>
      </c>
    </row>
    <row r="54" spans="1:16" x14ac:dyDescent="0.45">
      <c r="A54" s="14">
        <v>46182</v>
      </c>
      <c r="B54" s="15" t="s">
        <v>45</v>
      </c>
      <c r="C54" s="15" t="s">
        <v>25</v>
      </c>
      <c r="D54" s="15" t="s">
        <v>125</v>
      </c>
      <c r="E54" s="15" t="s">
        <v>126</v>
      </c>
      <c r="F54" s="16">
        <v>772131614</v>
      </c>
      <c r="G54" s="15" t="s">
        <v>15</v>
      </c>
      <c r="H54" s="15" t="s">
        <v>13</v>
      </c>
      <c r="I54" s="15" t="s">
        <v>16</v>
      </c>
      <c r="J54" s="15" t="s">
        <v>127</v>
      </c>
      <c r="K54" s="15" t="s">
        <v>42</v>
      </c>
      <c r="L54" s="15">
        <v>10</v>
      </c>
      <c r="M54" s="17">
        <v>9000</v>
      </c>
      <c r="N54" s="17">
        <v>90000</v>
      </c>
      <c r="O54" s="18" t="str">
        <f>"S"&amp;_xlfn.ISOWEEKNUM(Semaine_1[[#This Row],[Date]])</f>
        <v>S24</v>
      </c>
      <c r="P54" s="19" t="str">
        <f>TEXT(Semaine_1[[#This Row],[Date]],"MMMM")</f>
        <v>juin</v>
      </c>
    </row>
    <row r="55" spans="1:16" ht="28.15" x14ac:dyDescent="0.45">
      <c r="A55" s="14">
        <v>46182</v>
      </c>
      <c r="B55" s="15" t="s">
        <v>47</v>
      </c>
      <c r="C55" s="15" t="s">
        <v>29</v>
      </c>
      <c r="D55" s="15" t="s">
        <v>128</v>
      </c>
      <c r="E55" s="15" t="s">
        <v>129</v>
      </c>
      <c r="F55" s="16">
        <v>771952687</v>
      </c>
      <c r="G55" s="15" t="s">
        <v>15</v>
      </c>
      <c r="H55" s="15" t="s">
        <v>13</v>
      </c>
      <c r="I55" s="15" t="s">
        <v>16</v>
      </c>
      <c r="J55" s="15" t="s">
        <v>20</v>
      </c>
      <c r="K55" s="15" t="s">
        <v>130</v>
      </c>
      <c r="L55" s="15">
        <v>100</v>
      </c>
      <c r="M55" s="17">
        <v>28000</v>
      </c>
      <c r="N55" s="17">
        <v>2800000</v>
      </c>
      <c r="O55" s="18" t="str">
        <f>"S"&amp;_xlfn.ISOWEEKNUM(Semaine_1[[#This Row],[Date]])</f>
        <v>S24</v>
      </c>
      <c r="P55" s="19" t="str">
        <f>TEXT(Semaine_1[[#This Row],[Date]],"MMMM")</f>
        <v>juin</v>
      </c>
    </row>
    <row r="56" spans="1:16" ht="28.15" x14ac:dyDescent="0.45">
      <c r="A56" s="14">
        <v>46182</v>
      </c>
      <c r="B56" s="15" t="s">
        <v>45</v>
      </c>
      <c r="C56" s="15" t="s">
        <v>25</v>
      </c>
      <c r="D56" s="15" t="s">
        <v>105</v>
      </c>
      <c r="E56" s="15" t="s">
        <v>131</v>
      </c>
      <c r="F56" s="16">
        <v>783844775</v>
      </c>
      <c r="G56" s="15" t="s">
        <v>132</v>
      </c>
      <c r="H56" s="15" t="s">
        <v>36</v>
      </c>
      <c r="I56" s="15" t="s">
        <v>16</v>
      </c>
      <c r="J56" s="15" t="s">
        <v>133</v>
      </c>
      <c r="K56" s="15" t="s">
        <v>134</v>
      </c>
      <c r="L56" s="15">
        <v>1</v>
      </c>
      <c r="M56" s="17">
        <v>15000</v>
      </c>
      <c r="N56" s="17">
        <v>15000</v>
      </c>
      <c r="O56" s="18" t="str">
        <f>"S"&amp;_xlfn.ISOWEEKNUM(Semaine_1[[#This Row],[Date]])</f>
        <v>S24</v>
      </c>
      <c r="P56" s="19" t="str">
        <f>TEXT(Semaine_1[[#This Row],[Date]],"MMMM")</f>
        <v>juin</v>
      </c>
    </row>
    <row r="57" spans="1:16" ht="28.15" x14ac:dyDescent="0.45">
      <c r="A57" s="14">
        <v>46182</v>
      </c>
      <c r="B57" s="15" t="s">
        <v>45</v>
      </c>
      <c r="C57" s="15" t="s">
        <v>25</v>
      </c>
      <c r="D57" s="15" t="s">
        <v>105</v>
      </c>
      <c r="E57" s="15" t="s">
        <v>135</v>
      </c>
      <c r="F57" s="16">
        <v>783844997</v>
      </c>
      <c r="G57" s="15" t="s">
        <v>24</v>
      </c>
      <c r="H57" s="15" t="s">
        <v>13</v>
      </c>
      <c r="I57" s="15" t="s">
        <v>16</v>
      </c>
      <c r="J57" s="15" t="s">
        <v>136</v>
      </c>
      <c r="K57" s="15" t="s">
        <v>134</v>
      </c>
      <c r="L57" s="15">
        <v>1</v>
      </c>
      <c r="M57" s="17">
        <v>15000</v>
      </c>
      <c r="N57" s="17">
        <v>15000</v>
      </c>
      <c r="O57" s="18" t="str">
        <f>"S"&amp;_xlfn.ISOWEEKNUM(Semaine_1[[#This Row],[Date]])</f>
        <v>S24</v>
      </c>
      <c r="P57" s="19" t="str">
        <f>TEXT(Semaine_1[[#This Row],[Date]],"MMMM")</f>
        <v>juin</v>
      </c>
    </row>
    <row r="58" spans="1:16" ht="28.15" x14ac:dyDescent="0.45">
      <c r="A58" s="14">
        <v>46182</v>
      </c>
      <c r="B58" s="15" t="s">
        <v>45</v>
      </c>
      <c r="C58" s="15" t="s">
        <v>25</v>
      </c>
      <c r="D58" s="15" t="s">
        <v>105</v>
      </c>
      <c r="E58" s="15" t="s">
        <v>137</v>
      </c>
      <c r="F58" s="16">
        <v>778420348</v>
      </c>
      <c r="G58" s="15" t="s">
        <v>138</v>
      </c>
      <c r="H58" s="15" t="s">
        <v>13</v>
      </c>
      <c r="I58" s="15" t="s">
        <v>16</v>
      </c>
      <c r="J58" s="15" t="s">
        <v>26</v>
      </c>
      <c r="K58" s="15" t="s">
        <v>134</v>
      </c>
      <c r="L58" s="15">
        <v>1</v>
      </c>
      <c r="M58" s="17">
        <v>15000</v>
      </c>
      <c r="N58" s="17">
        <v>15000</v>
      </c>
      <c r="O58" s="18" t="str">
        <f>"S"&amp;_xlfn.ISOWEEKNUM(Semaine_1[[#This Row],[Date]])</f>
        <v>S24</v>
      </c>
      <c r="P58" s="19" t="str">
        <f>TEXT(Semaine_1[[#This Row],[Date]],"MMMM")</f>
        <v>juin</v>
      </c>
    </row>
    <row r="59" spans="1:16" ht="28.15" x14ac:dyDescent="0.45">
      <c r="A59" s="14">
        <v>46182</v>
      </c>
      <c r="B59" s="15" t="s">
        <v>45</v>
      </c>
      <c r="C59" s="15" t="s">
        <v>25</v>
      </c>
      <c r="D59" s="15" t="s">
        <v>105</v>
      </c>
      <c r="E59" s="15" t="s">
        <v>131</v>
      </c>
      <c r="F59" s="16">
        <v>783844775</v>
      </c>
      <c r="G59" s="15" t="s">
        <v>132</v>
      </c>
      <c r="H59" s="15" t="s">
        <v>36</v>
      </c>
      <c r="I59" s="15" t="s">
        <v>16</v>
      </c>
      <c r="J59" s="15" t="s">
        <v>133</v>
      </c>
      <c r="K59" s="15" t="s">
        <v>64</v>
      </c>
      <c r="L59" s="15">
        <v>1</v>
      </c>
      <c r="M59" s="17">
        <v>26500</v>
      </c>
      <c r="N59" s="17">
        <v>26500</v>
      </c>
      <c r="O59" s="18" t="str">
        <f>"S"&amp;_xlfn.ISOWEEKNUM(Semaine_1[[#This Row],[Date]])</f>
        <v>S24</v>
      </c>
      <c r="P59" s="19" t="str">
        <f>TEXT(Semaine_1[[#This Row],[Date]],"MMMM")</f>
        <v>juin</v>
      </c>
    </row>
    <row r="60" spans="1:16" x14ac:dyDescent="0.45">
      <c r="A60" s="14">
        <v>46182</v>
      </c>
      <c r="B60" s="15" t="s">
        <v>45</v>
      </c>
      <c r="C60" s="15" t="s">
        <v>25</v>
      </c>
      <c r="D60" s="15" t="s">
        <v>105</v>
      </c>
      <c r="E60" s="15" t="s">
        <v>139</v>
      </c>
      <c r="F60" s="16">
        <v>783740441</v>
      </c>
      <c r="G60" s="15" t="s">
        <v>15</v>
      </c>
      <c r="H60" s="15" t="s">
        <v>13</v>
      </c>
      <c r="I60" s="15" t="s">
        <v>16</v>
      </c>
      <c r="J60" s="15" t="s">
        <v>26</v>
      </c>
      <c r="K60" s="15" t="s">
        <v>42</v>
      </c>
      <c r="L60" s="15">
        <v>10</v>
      </c>
      <c r="M60" s="17">
        <v>9000</v>
      </c>
      <c r="N60" s="17">
        <v>90000</v>
      </c>
      <c r="O60" s="18" t="str">
        <f>"S"&amp;_xlfn.ISOWEEKNUM(Semaine_1[[#This Row],[Date]])</f>
        <v>S24</v>
      </c>
      <c r="P60" s="19" t="str">
        <f>TEXT(Semaine_1[[#This Row],[Date]],"MMMM")</f>
        <v>juin</v>
      </c>
    </row>
    <row r="61" spans="1:16" ht="28.15" x14ac:dyDescent="0.45">
      <c r="A61" s="14">
        <v>46182</v>
      </c>
      <c r="B61" s="15" t="s">
        <v>47</v>
      </c>
      <c r="C61" s="15" t="s">
        <v>29</v>
      </c>
      <c r="D61" s="15" t="s">
        <v>30</v>
      </c>
      <c r="E61" s="15" t="s">
        <v>115</v>
      </c>
      <c r="F61" s="16">
        <v>775411094</v>
      </c>
      <c r="G61" s="15" t="s">
        <v>15</v>
      </c>
      <c r="H61" s="15" t="s">
        <v>13</v>
      </c>
      <c r="I61" s="15" t="s">
        <v>16</v>
      </c>
      <c r="J61" s="15" t="s">
        <v>20</v>
      </c>
      <c r="K61" s="15" t="s">
        <v>42</v>
      </c>
      <c r="L61" s="15">
        <v>100</v>
      </c>
      <c r="M61" s="17">
        <v>9000</v>
      </c>
      <c r="N61" s="17">
        <v>900000</v>
      </c>
      <c r="O61" s="18" t="str">
        <f>"S"&amp;_xlfn.ISOWEEKNUM(Semaine_1[[#This Row],[Date]])</f>
        <v>S24</v>
      </c>
      <c r="P61" s="19" t="str">
        <f>TEXT(Semaine_1[[#This Row],[Date]],"MMMM")</f>
        <v>juin</v>
      </c>
    </row>
    <row r="62" spans="1:16" ht="28.15" x14ac:dyDescent="0.45">
      <c r="A62" s="14">
        <v>46182</v>
      </c>
      <c r="B62" s="15" t="s">
        <v>47</v>
      </c>
      <c r="C62" s="15" t="s">
        <v>29</v>
      </c>
      <c r="D62" s="15" t="s">
        <v>56</v>
      </c>
      <c r="E62" s="15" t="s">
        <v>140</v>
      </c>
      <c r="F62" s="16">
        <v>784537895</v>
      </c>
      <c r="G62" s="15" t="s">
        <v>15</v>
      </c>
      <c r="H62" s="15" t="s">
        <v>13</v>
      </c>
      <c r="I62" s="15" t="s">
        <v>16</v>
      </c>
      <c r="J62" s="15" t="s">
        <v>20</v>
      </c>
      <c r="K62" s="15" t="s">
        <v>40</v>
      </c>
      <c r="L62" s="15">
        <v>25</v>
      </c>
      <c r="M62" s="17">
        <v>19500</v>
      </c>
      <c r="N62" s="17">
        <v>487500</v>
      </c>
      <c r="O62" s="18" t="str">
        <f>"S"&amp;_xlfn.ISOWEEKNUM(Semaine_1[[#This Row],[Date]])</f>
        <v>S24</v>
      </c>
      <c r="P62" s="19" t="str">
        <f>TEXT(Semaine_1[[#This Row],[Date]],"MMMM")</f>
        <v>juin</v>
      </c>
    </row>
    <row r="63" spans="1:16" ht="28.15" x14ac:dyDescent="0.45">
      <c r="A63" s="14">
        <v>46182</v>
      </c>
      <c r="B63" s="15" t="s">
        <v>47</v>
      </c>
      <c r="C63" s="15" t="s">
        <v>29</v>
      </c>
      <c r="D63" s="15" t="s">
        <v>56</v>
      </c>
      <c r="E63" s="15" t="s">
        <v>141</v>
      </c>
      <c r="F63" s="16">
        <v>786323232</v>
      </c>
      <c r="G63" s="15" t="s">
        <v>15</v>
      </c>
      <c r="H63" s="15" t="s">
        <v>13</v>
      </c>
      <c r="I63" s="15" t="s">
        <v>16</v>
      </c>
      <c r="J63" s="15" t="s">
        <v>20</v>
      </c>
      <c r="K63" s="15" t="s">
        <v>90</v>
      </c>
      <c r="L63" s="15">
        <v>20</v>
      </c>
      <c r="M63" s="17">
        <v>9000</v>
      </c>
      <c r="N63" s="17">
        <v>180000</v>
      </c>
      <c r="O63" s="18" t="str">
        <f>"S"&amp;_xlfn.ISOWEEKNUM(Semaine_1[[#This Row],[Date]])</f>
        <v>S24</v>
      </c>
      <c r="P63" s="19" t="str">
        <f>TEXT(Semaine_1[[#This Row],[Date]],"MMMM")</f>
        <v>juin</v>
      </c>
    </row>
    <row r="64" spans="1:16" ht="28.15" x14ac:dyDescent="0.45">
      <c r="A64" s="14">
        <v>46181</v>
      </c>
      <c r="B64" s="15" t="s">
        <v>38</v>
      </c>
      <c r="C64" s="15" t="s">
        <v>21</v>
      </c>
      <c r="D64" s="15" t="s">
        <v>22</v>
      </c>
      <c r="E64" s="15" t="s">
        <v>142</v>
      </c>
      <c r="F64" s="16">
        <v>767379110</v>
      </c>
      <c r="G64" s="15" t="s">
        <v>15</v>
      </c>
      <c r="H64" s="15" t="s">
        <v>13</v>
      </c>
      <c r="I64" s="15" t="s">
        <v>16</v>
      </c>
      <c r="J64" s="15" t="s">
        <v>20</v>
      </c>
      <c r="K64" s="15" t="s">
        <v>28</v>
      </c>
      <c r="L64" s="15">
        <v>25</v>
      </c>
      <c r="M64" s="17">
        <v>26000</v>
      </c>
      <c r="N64" s="17">
        <v>650000</v>
      </c>
      <c r="O64" s="18" t="str">
        <f>"S"&amp;_xlfn.ISOWEEKNUM(Semaine_1[[#This Row],[Date]])</f>
        <v>S24</v>
      </c>
      <c r="P64" s="19" t="str">
        <f>TEXT(Semaine_1[[#This Row],[Date]],"MMMM")</f>
        <v>juin</v>
      </c>
    </row>
    <row r="65" spans="1:16" ht="28.15" x14ac:dyDescent="0.45">
      <c r="A65" s="14">
        <v>46181</v>
      </c>
      <c r="B65" s="15" t="s">
        <v>38</v>
      </c>
      <c r="C65" s="15" t="s">
        <v>21</v>
      </c>
      <c r="D65" s="15" t="s">
        <v>22</v>
      </c>
      <c r="E65" s="15" t="s">
        <v>143</v>
      </c>
      <c r="F65" s="16">
        <v>760169386</v>
      </c>
      <c r="G65" s="15" t="s">
        <v>15</v>
      </c>
      <c r="H65" s="15" t="s">
        <v>13</v>
      </c>
      <c r="I65" s="15" t="s">
        <v>16</v>
      </c>
      <c r="J65" s="15" t="s">
        <v>20</v>
      </c>
      <c r="K65" s="15" t="s">
        <v>42</v>
      </c>
      <c r="L65" s="15">
        <v>25</v>
      </c>
      <c r="M65" s="17">
        <v>9000</v>
      </c>
      <c r="N65" s="17">
        <v>225000</v>
      </c>
      <c r="O65" s="18" t="str">
        <f>"S"&amp;_xlfn.ISOWEEKNUM(Semaine_1[[#This Row],[Date]])</f>
        <v>S24</v>
      </c>
      <c r="P65" s="19" t="str">
        <f>TEXT(Semaine_1[[#This Row],[Date]],"MMMM")</f>
        <v>juin</v>
      </c>
    </row>
    <row r="66" spans="1:16" x14ac:dyDescent="0.45">
      <c r="A66" s="14">
        <v>46181</v>
      </c>
      <c r="B66" s="15" t="s">
        <v>37</v>
      </c>
      <c r="C66" s="15" t="s">
        <v>31</v>
      </c>
      <c r="D66" s="15" t="s">
        <v>52</v>
      </c>
      <c r="E66" s="15" t="s">
        <v>144</v>
      </c>
      <c r="F66" s="16">
        <v>776677566</v>
      </c>
      <c r="G66" s="15" t="s">
        <v>15</v>
      </c>
      <c r="H66" s="15" t="s">
        <v>13</v>
      </c>
      <c r="I66" s="15" t="s">
        <v>16</v>
      </c>
      <c r="J66" s="15" t="s">
        <v>145</v>
      </c>
      <c r="K66" s="15" t="s">
        <v>28</v>
      </c>
      <c r="L66" s="15">
        <v>100</v>
      </c>
      <c r="M66" s="17">
        <v>26000</v>
      </c>
      <c r="N66" s="17">
        <v>2600000</v>
      </c>
      <c r="O66" s="18" t="str">
        <f>"S"&amp;_xlfn.ISOWEEKNUM(Semaine_1[[#This Row],[Date]])</f>
        <v>S24</v>
      </c>
      <c r="P66" s="19" t="str">
        <f>TEXT(Semaine_1[[#This Row],[Date]],"MMMM")</f>
        <v>juin</v>
      </c>
    </row>
    <row r="67" spans="1:16" ht="28.15" x14ac:dyDescent="0.45">
      <c r="A67" s="14">
        <v>46183</v>
      </c>
      <c r="B67" s="15" t="s">
        <v>46</v>
      </c>
      <c r="C67" s="15" t="s">
        <v>23</v>
      </c>
      <c r="D67" s="15" t="s">
        <v>147</v>
      </c>
      <c r="E67" s="15" t="s">
        <v>148</v>
      </c>
      <c r="F67" s="16">
        <v>779865100</v>
      </c>
      <c r="G67" s="15" t="s">
        <v>15</v>
      </c>
      <c r="H67" s="15" t="s">
        <v>13</v>
      </c>
      <c r="I67" s="15" t="s">
        <v>16</v>
      </c>
      <c r="J67" s="15" t="s">
        <v>149</v>
      </c>
      <c r="K67" s="15" t="s">
        <v>130</v>
      </c>
      <c r="L67" s="15">
        <v>2</v>
      </c>
      <c r="M67" s="17">
        <v>28000</v>
      </c>
      <c r="N67" s="17">
        <v>56000</v>
      </c>
      <c r="O67" s="18" t="str">
        <f>"S"&amp;_xlfn.ISOWEEKNUM(Semaine_1[[#This Row],[Date]])</f>
        <v>S24</v>
      </c>
      <c r="P67" s="19" t="str">
        <f>TEXT(Semaine_1[[#This Row],[Date]],"MMMM")</f>
        <v>juin</v>
      </c>
    </row>
    <row r="68" spans="1:16" ht="28.15" x14ac:dyDescent="0.45">
      <c r="A68" s="14">
        <v>46183</v>
      </c>
      <c r="B68" s="15" t="s">
        <v>46</v>
      </c>
      <c r="C68" s="15" t="s">
        <v>23</v>
      </c>
      <c r="D68" s="15" t="s">
        <v>147</v>
      </c>
      <c r="E68" s="15" t="s">
        <v>148</v>
      </c>
      <c r="F68" s="16">
        <v>779865100</v>
      </c>
      <c r="G68" s="15" t="s">
        <v>15</v>
      </c>
      <c r="H68" s="15" t="s">
        <v>13</v>
      </c>
      <c r="I68" s="15" t="s">
        <v>16</v>
      </c>
      <c r="J68" s="15" t="s">
        <v>149</v>
      </c>
      <c r="K68" s="15" t="s">
        <v>90</v>
      </c>
      <c r="L68" s="15">
        <v>25</v>
      </c>
      <c r="M68" s="17">
        <v>9000</v>
      </c>
      <c r="N68" s="17">
        <v>225000</v>
      </c>
      <c r="O68" s="18" t="str">
        <f>"S"&amp;_xlfn.ISOWEEKNUM(Semaine_1[[#This Row],[Date]])</f>
        <v>S24</v>
      </c>
      <c r="P68" s="19" t="str">
        <f>TEXT(Semaine_1[[#This Row],[Date]],"MMMM")</f>
        <v>juin</v>
      </c>
    </row>
    <row r="69" spans="1:16" x14ac:dyDescent="0.45">
      <c r="A69" s="14">
        <v>46183</v>
      </c>
      <c r="B69" s="15" t="s">
        <v>37</v>
      </c>
      <c r="C69" s="15" t="s">
        <v>31</v>
      </c>
      <c r="D69" s="15" t="s">
        <v>150</v>
      </c>
      <c r="E69" s="15" t="s">
        <v>84</v>
      </c>
      <c r="F69" s="16">
        <v>776194586</v>
      </c>
      <c r="G69" s="15" t="s">
        <v>15</v>
      </c>
      <c r="H69" s="15" t="s">
        <v>13</v>
      </c>
      <c r="I69" s="15" t="s">
        <v>16</v>
      </c>
      <c r="J69" s="15" t="s">
        <v>151</v>
      </c>
      <c r="K69" s="15" t="s">
        <v>90</v>
      </c>
      <c r="L69" s="15">
        <v>25</v>
      </c>
      <c r="M69" s="17">
        <v>9000</v>
      </c>
      <c r="N69" s="17">
        <v>225000</v>
      </c>
      <c r="O69" s="18" t="str">
        <f>"S"&amp;_xlfn.ISOWEEKNUM(Semaine_1[[#This Row],[Date]])</f>
        <v>S24</v>
      </c>
      <c r="P69" s="19" t="str">
        <f>TEXT(Semaine_1[[#This Row],[Date]],"MMMM")</f>
        <v>juin</v>
      </c>
    </row>
    <row r="70" spans="1:16" ht="28.15" x14ac:dyDescent="0.45">
      <c r="A70" s="14">
        <v>46183</v>
      </c>
      <c r="B70" s="15" t="s">
        <v>38</v>
      </c>
      <c r="C70" s="15" t="s">
        <v>21</v>
      </c>
      <c r="D70" s="15" t="s">
        <v>22</v>
      </c>
      <c r="E70" s="15" t="s">
        <v>143</v>
      </c>
      <c r="F70" s="16">
        <v>760169386</v>
      </c>
      <c r="G70" s="15" t="s">
        <v>15</v>
      </c>
      <c r="H70" s="15" t="s">
        <v>13</v>
      </c>
      <c r="I70" s="15" t="s">
        <v>16</v>
      </c>
      <c r="J70" s="15" t="s">
        <v>20</v>
      </c>
      <c r="K70" s="15" t="s">
        <v>28</v>
      </c>
      <c r="L70" s="15">
        <v>25</v>
      </c>
      <c r="M70" s="17">
        <v>26000</v>
      </c>
      <c r="N70" s="17">
        <v>650000</v>
      </c>
      <c r="O70" s="18" t="str">
        <f>"S"&amp;_xlfn.ISOWEEKNUM(Semaine_1[[#This Row],[Date]])</f>
        <v>S24</v>
      </c>
      <c r="P70" s="19" t="str">
        <f>TEXT(Semaine_1[[#This Row],[Date]],"MMMM")</f>
        <v>juin</v>
      </c>
    </row>
    <row r="71" spans="1:16" x14ac:dyDescent="0.45">
      <c r="A71" s="14">
        <v>46182</v>
      </c>
      <c r="B71" s="15" t="s">
        <v>37</v>
      </c>
      <c r="C71" s="15" t="s">
        <v>31</v>
      </c>
      <c r="D71" s="15" t="s">
        <v>52</v>
      </c>
      <c r="E71" s="15" t="s">
        <v>152</v>
      </c>
      <c r="F71" s="16">
        <v>772990477</v>
      </c>
      <c r="G71" s="15" t="s">
        <v>15</v>
      </c>
      <c r="H71" s="15" t="s">
        <v>13</v>
      </c>
      <c r="I71" s="15" t="s">
        <v>16</v>
      </c>
      <c r="J71" s="15" t="s">
        <v>153</v>
      </c>
      <c r="K71" s="15" t="s">
        <v>130</v>
      </c>
      <c r="L71" s="15">
        <v>25</v>
      </c>
      <c r="M71" s="17">
        <v>28000</v>
      </c>
      <c r="N71" s="17">
        <v>700000</v>
      </c>
      <c r="O71" s="18" t="str">
        <f>"S"&amp;_xlfn.ISOWEEKNUM(Semaine_1[[#This Row],[Date]])</f>
        <v>S24</v>
      </c>
      <c r="P71" s="19" t="str">
        <f>TEXT(Semaine_1[[#This Row],[Date]],"MMMM")</f>
        <v>juin</v>
      </c>
    </row>
    <row r="72" spans="1:16" x14ac:dyDescent="0.45">
      <c r="A72" s="14">
        <v>46182</v>
      </c>
      <c r="B72" s="15" t="s">
        <v>37</v>
      </c>
      <c r="C72" s="15" t="s">
        <v>31</v>
      </c>
      <c r="D72" s="15" t="s">
        <v>52</v>
      </c>
      <c r="E72" s="15" t="s">
        <v>152</v>
      </c>
      <c r="F72" s="16">
        <v>772990477</v>
      </c>
      <c r="G72" s="15" t="s">
        <v>15</v>
      </c>
      <c r="H72" s="15" t="s">
        <v>13</v>
      </c>
      <c r="I72" s="15" t="s">
        <v>16</v>
      </c>
      <c r="J72" s="15" t="s">
        <v>153</v>
      </c>
      <c r="K72" s="15" t="s">
        <v>28</v>
      </c>
      <c r="L72" s="15">
        <v>25</v>
      </c>
      <c r="M72" s="17">
        <v>26000</v>
      </c>
      <c r="N72" s="17">
        <v>650000</v>
      </c>
      <c r="O72" s="18" t="str">
        <f>"S"&amp;_xlfn.ISOWEEKNUM(Semaine_1[[#This Row],[Date]])</f>
        <v>S24</v>
      </c>
      <c r="P72" s="19" t="str">
        <f>TEXT(Semaine_1[[#This Row],[Date]],"MMMM")</f>
        <v>juin</v>
      </c>
    </row>
    <row r="73" spans="1:16" ht="28.15" x14ac:dyDescent="0.45">
      <c r="A73" s="14">
        <v>46182</v>
      </c>
      <c r="B73" s="15" t="s">
        <v>44</v>
      </c>
      <c r="C73" s="15" t="s">
        <v>14</v>
      </c>
      <c r="D73" s="15" t="s">
        <v>154</v>
      </c>
      <c r="E73" s="15" t="s">
        <v>155</v>
      </c>
      <c r="F73" s="16">
        <v>775742357</v>
      </c>
      <c r="G73" s="15" t="s">
        <v>15</v>
      </c>
      <c r="H73" s="15" t="s">
        <v>13</v>
      </c>
      <c r="I73" s="15" t="s">
        <v>16</v>
      </c>
      <c r="J73" s="15" t="s">
        <v>146</v>
      </c>
      <c r="K73" s="15" t="s">
        <v>40</v>
      </c>
      <c r="L73" s="15">
        <v>25</v>
      </c>
      <c r="M73" s="17">
        <v>19500</v>
      </c>
      <c r="N73" s="17">
        <v>487500</v>
      </c>
      <c r="O73" s="18" t="str">
        <f>"S"&amp;_xlfn.ISOWEEKNUM(Semaine_1[[#This Row],[Date]])</f>
        <v>S24</v>
      </c>
      <c r="P73" s="19" t="str">
        <f>TEXT(Semaine_1[[#This Row],[Date]],"MMMM")</f>
        <v>juin</v>
      </c>
    </row>
    <row r="74" spans="1:16" ht="28.15" x14ac:dyDescent="0.45">
      <c r="A74" s="14">
        <v>46182</v>
      </c>
      <c r="B74" s="15" t="s">
        <v>44</v>
      </c>
      <c r="C74" s="15" t="s">
        <v>14</v>
      </c>
      <c r="D74" s="15" t="s">
        <v>154</v>
      </c>
      <c r="E74" s="15" t="s">
        <v>155</v>
      </c>
      <c r="F74" s="16">
        <v>775742357</v>
      </c>
      <c r="G74" s="15" t="s">
        <v>15</v>
      </c>
      <c r="H74" s="15" t="s">
        <v>13</v>
      </c>
      <c r="I74" s="15" t="s">
        <v>16</v>
      </c>
      <c r="J74" s="15" t="s">
        <v>146</v>
      </c>
      <c r="K74" s="15" t="s">
        <v>130</v>
      </c>
      <c r="L74" s="15">
        <v>1</v>
      </c>
      <c r="M74" s="17">
        <v>28000</v>
      </c>
      <c r="N74" s="17">
        <v>28000</v>
      </c>
      <c r="O74" s="18" t="str">
        <f>"S"&amp;_xlfn.ISOWEEKNUM(Semaine_1[[#This Row],[Date]])</f>
        <v>S24</v>
      </c>
      <c r="P74" s="19" t="str">
        <f>TEXT(Semaine_1[[#This Row],[Date]],"MMMM")</f>
        <v>juin</v>
      </c>
    </row>
    <row r="75" spans="1:16" ht="28.15" x14ac:dyDescent="0.45">
      <c r="A75" s="14">
        <v>46182</v>
      </c>
      <c r="B75" s="15" t="s">
        <v>44</v>
      </c>
      <c r="C75" s="15" t="s">
        <v>14</v>
      </c>
      <c r="D75" s="15" t="s">
        <v>154</v>
      </c>
      <c r="E75" s="15" t="s">
        <v>155</v>
      </c>
      <c r="F75" s="16">
        <v>775742357</v>
      </c>
      <c r="G75" s="15" t="s">
        <v>15</v>
      </c>
      <c r="H75" s="15" t="s">
        <v>13</v>
      </c>
      <c r="I75" s="15" t="s">
        <v>16</v>
      </c>
      <c r="J75" s="15" t="s">
        <v>146</v>
      </c>
      <c r="K75" s="15" t="s">
        <v>69</v>
      </c>
      <c r="L75" s="15">
        <v>2</v>
      </c>
      <c r="M75" s="17">
        <v>33500</v>
      </c>
      <c r="N75" s="17">
        <v>67000</v>
      </c>
      <c r="O75" s="18" t="str">
        <f>"S"&amp;_xlfn.ISOWEEKNUM(Semaine_1[[#This Row],[Date]])</f>
        <v>S24</v>
      </c>
      <c r="P75" s="19" t="str">
        <f>TEXT(Semaine_1[[#This Row],[Date]],"MMMM")</f>
        <v>juin</v>
      </c>
    </row>
    <row r="76" spans="1:16" ht="28.15" x14ac:dyDescent="0.45">
      <c r="A76" s="14">
        <v>46181</v>
      </c>
      <c r="B76" s="15" t="s">
        <v>46</v>
      </c>
      <c r="C76" s="15" t="s">
        <v>23</v>
      </c>
      <c r="D76" s="15" t="s">
        <v>147</v>
      </c>
      <c r="E76" s="15" t="s">
        <v>156</v>
      </c>
      <c r="F76" s="16">
        <v>776750178</v>
      </c>
      <c r="G76" s="15" t="s">
        <v>24</v>
      </c>
      <c r="H76" s="15" t="s">
        <v>13</v>
      </c>
      <c r="I76" s="15" t="s">
        <v>16</v>
      </c>
      <c r="J76" s="15" t="s">
        <v>33</v>
      </c>
      <c r="K76" s="15" t="s">
        <v>42</v>
      </c>
      <c r="L76" s="15">
        <v>10</v>
      </c>
      <c r="M76" s="17">
        <v>9000</v>
      </c>
      <c r="N76" s="17">
        <v>90000</v>
      </c>
      <c r="O76" s="18" t="str">
        <f>"S"&amp;_xlfn.ISOWEEKNUM(Semaine_1[[#This Row],[Date]])</f>
        <v>S24</v>
      </c>
      <c r="P76" s="19" t="str">
        <f>TEXT(Semaine_1[[#This Row],[Date]],"MMMM")</f>
        <v>juin</v>
      </c>
    </row>
    <row r="77" spans="1:16" ht="28.15" x14ac:dyDescent="0.45">
      <c r="A77" s="14">
        <v>46181</v>
      </c>
      <c r="B77" s="15" t="s">
        <v>46</v>
      </c>
      <c r="C77" s="15" t="s">
        <v>23</v>
      </c>
      <c r="D77" s="15" t="s">
        <v>147</v>
      </c>
      <c r="E77" s="15" t="s">
        <v>156</v>
      </c>
      <c r="F77" s="16">
        <v>776750178</v>
      </c>
      <c r="G77" s="15" t="s">
        <v>24</v>
      </c>
      <c r="H77" s="15" t="s">
        <v>13</v>
      </c>
      <c r="I77" s="15" t="s">
        <v>16</v>
      </c>
      <c r="J77" s="15" t="s">
        <v>33</v>
      </c>
      <c r="K77" s="15" t="s">
        <v>90</v>
      </c>
      <c r="L77" s="15">
        <v>15</v>
      </c>
      <c r="M77" s="17">
        <v>9000</v>
      </c>
      <c r="N77" s="17">
        <v>135000</v>
      </c>
      <c r="O77" s="18" t="str">
        <f>"S"&amp;_xlfn.ISOWEEKNUM(Semaine_1[[#This Row],[Date]])</f>
        <v>S24</v>
      </c>
      <c r="P77" s="19" t="str">
        <f>TEXT(Semaine_1[[#This Row],[Date]],"MMMM")</f>
        <v>juin</v>
      </c>
    </row>
    <row r="78" spans="1:16" ht="28.15" x14ac:dyDescent="0.45">
      <c r="A78" s="14">
        <v>46181</v>
      </c>
      <c r="B78" s="15" t="s">
        <v>46</v>
      </c>
      <c r="C78" s="15" t="s">
        <v>23</v>
      </c>
      <c r="D78" s="15" t="s">
        <v>157</v>
      </c>
      <c r="E78" s="15" t="s">
        <v>158</v>
      </c>
      <c r="F78" s="16">
        <v>778823579</v>
      </c>
      <c r="G78" s="15" t="s">
        <v>15</v>
      </c>
      <c r="H78" s="15" t="s">
        <v>13</v>
      </c>
      <c r="I78" s="15" t="s">
        <v>16</v>
      </c>
      <c r="J78" s="15" t="s">
        <v>159</v>
      </c>
      <c r="K78" s="15" t="s">
        <v>42</v>
      </c>
      <c r="L78" s="15">
        <v>10</v>
      </c>
      <c r="M78" s="17">
        <v>9000</v>
      </c>
      <c r="N78" s="17">
        <v>90000</v>
      </c>
      <c r="O78" s="18" t="str">
        <f>"S"&amp;_xlfn.ISOWEEKNUM(Semaine_1[[#This Row],[Date]])</f>
        <v>S24</v>
      </c>
      <c r="P78" s="19" t="str">
        <f>TEXT(Semaine_1[[#This Row],[Date]],"MMMM")</f>
        <v>juin</v>
      </c>
    </row>
    <row r="79" spans="1:16" ht="28.15" x14ac:dyDescent="0.45">
      <c r="A79" s="14">
        <v>46181</v>
      </c>
      <c r="B79" s="15" t="s">
        <v>37</v>
      </c>
      <c r="C79" s="15" t="s">
        <v>31</v>
      </c>
      <c r="D79" s="15" t="s">
        <v>122</v>
      </c>
      <c r="E79" s="15" t="s">
        <v>160</v>
      </c>
      <c r="F79" s="16">
        <v>788217757</v>
      </c>
      <c r="G79" s="15" t="s">
        <v>15</v>
      </c>
      <c r="H79" s="15" t="s">
        <v>13</v>
      </c>
      <c r="I79" s="15" t="s">
        <v>16</v>
      </c>
      <c r="J79" s="15" t="s">
        <v>161</v>
      </c>
      <c r="K79" s="15" t="s">
        <v>42</v>
      </c>
      <c r="L79" s="15">
        <v>25</v>
      </c>
      <c r="M79" s="17">
        <v>9000</v>
      </c>
      <c r="N79" s="17">
        <v>225000</v>
      </c>
      <c r="O79" s="18" t="str">
        <f>"S"&amp;_xlfn.ISOWEEKNUM(Semaine_1[[#This Row],[Date]])</f>
        <v>S24</v>
      </c>
      <c r="P79" s="19" t="str">
        <f>TEXT(Semaine_1[[#This Row],[Date]],"MMMM")</f>
        <v>juin</v>
      </c>
    </row>
    <row r="80" spans="1:16" ht="28.15" x14ac:dyDescent="0.45">
      <c r="A80" s="14">
        <v>46181</v>
      </c>
      <c r="B80" s="15" t="s">
        <v>46</v>
      </c>
      <c r="C80" s="15" t="s">
        <v>23</v>
      </c>
      <c r="D80" s="15" t="s">
        <v>162</v>
      </c>
      <c r="E80" s="15" t="s">
        <v>163</v>
      </c>
      <c r="F80" s="16">
        <v>776294949</v>
      </c>
      <c r="G80" s="15" t="s">
        <v>15</v>
      </c>
      <c r="H80" s="15" t="s">
        <v>13</v>
      </c>
      <c r="I80" s="15" t="s">
        <v>16</v>
      </c>
      <c r="J80" s="15" t="s">
        <v>164</v>
      </c>
      <c r="K80" s="15" t="s">
        <v>42</v>
      </c>
      <c r="L80" s="15">
        <v>65</v>
      </c>
      <c r="M80" s="17">
        <v>9000</v>
      </c>
      <c r="N80" s="17">
        <v>585000</v>
      </c>
      <c r="O80" s="18" t="str">
        <f>"S"&amp;_xlfn.ISOWEEKNUM(Semaine_1[[#This Row],[Date]])</f>
        <v>S24</v>
      </c>
      <c r="P80" s="19" t="str">
        <f>TEXT(Semaine_1[[#This Row],[Date]],"MMMM")</f>
        <v>juin</v>
      </c>
    </row>
    <row r="81" spans="1:16" ht="28.15" x14ac:dyDescent="0.45">
      <c r="A81" s="14">
        <v>46181</v>
      </c>
      <c r="B81" s="15" t="s">
        <v>46</v>
      </c>
      <c r="C81" s="15" t="s">
        <v>23</v>
      </c>
      <c r="D81" s="15" t="s">
        <v>162</v>
      </c>
      <c r="E81" s="15" t="s">
        <v>163</v>
      </c>
      <c r="F81" s="16">
        <v>776294949</v>
      </c>
      <c r="G81" s="15" t="s">
        <v>15</v>
      </c>
      <c r="H81" s="15" t="s">
        <v>13</v>
      </c>
      <c r="I81" s="15" t="s">
        <v>16</v>
      </c>
      <c r="J81" s="15" t="s">
        <v>164</v>
      </c>
      <c r="K81" s="15" t="s">
        <v>90</v>
      </c>
      <c r="L81" s="15">
        <v>35</v>
      </c>
      <c r="M81" s="17">
        <v>9000</v>
      </c>
      <c r="N81" s="17">
        <v>315000</v>
      </c>
      <c r="O81" s="18" t="str">
        <f>"S"&amp;_xlfn.ISOWEEKNUM(Semaine_1[[#This Row],[Date]])</f>
        <v>S24</v>
      </c>
      <c r="P81" s="19" t="str">
        <f>TEXT(Semaine_1[[#This Row],[Date]],"MMMM")</f>
        <v>juin</v>
      </c>
    </row>
    <row r="82" spans="1:16" ht="28.15" x14ac:dyDescent="0.45">
      <c r="A82" s="14">
        <v>46181</v>
      </c>
      <c r="B82" s="15" t="s">
        <v>46</v>
      </c>
      <c r="C82" s="15" t="s">
        <v>23</v>
      </c>
      <c r="D82" s="15" t="s">
        <v>157</v>
      </c>
      <c r="E82" s="15" t="s">
        <v>165</v>
      </c>
      <c r="F82" s="16">
        <v>778003741</v>
      </c>
      <c r="G82" s="15" t="s">
        <v>138</v>
      </c>
      <c r="H82" s="15" t="s">
        <v>13</v>
      </c>
      <c r="I82" s="15" t="s">
        <v>16</v>
      </c>
      <c r="J82" s="15" t="s">
        <v>33</v>
      </c>
      <c r="K82" s="15" t="s">
        <v>64</v>
      </c>
      <c r="L82" s="15">
        <v>5</v>
      </c>
      <c r="M82" s="17">
        <v>26500</v>
      </c>
      <c r="N82" s="17">
        <v>132500</v>
      </c>
      <c r="O82" s="18" t="str">
        <f>"S"&amp;_xlfn.ISOWEEKNUM(Semaine_1[[#This Row],[Date]])</f>
        <v>S24</v>
      </c>
      <c r="P82" s="19" t="str">
        <f>TEXT(Semaine_1[[#This Row],[Date]],"MMMM")</f>
        <v>juin</v>
      </c>
    </row>
    <row r="83" spans="1:16" ht="28.15" x14ac:dyDescent="0.45">
      <c r="A83" s="14">
        <v>46184</v>
      </c>
      <c r="B83" s="15" t="s">
        <v>49</v>
      </c>
      <c r="C83" s="15" t="s">
        <v>43</v>
      </c>
      <c r="D83" s="15" t="s">
        <v>121</v>
      </c>
      <c r="E83" s="15" t="s">
        <v>166</v>
      </c>
      <c r="F83" s="16">
        <v>766923118</v>
      </c>
      <c r="G83" s="15" t="s">
        <v>24</v>
      </c>
      <c r="H83" s="15" t="s">
        <v>13</v>
      </c>
      <c r="I83" s="15" t="s">
        <v>16</v>
      </c>
      <c r="J83" s="15" t="s">
        <v>20</v>
      </c>
      <c r="K83" s="15" t="s">
        <v>42</v>
      </c>
      <c r="L83" s="15">
        <v>10</v>
      </c>
      <c r="M83" s="17">
        <v>9000</v>
      </c>
      <c r="N83" s="17">
        <v>90000</v>
      </c>
      <c r="O83" s="18" t="str">
        <f>"S"&amp;_xlfn.ISOWEEKNUM(Semaine_1[[#This Row],[Date]])</f>
        <v>S24</v>
      </c>
      <c r="P83" s="19" t="str">
        <f>TEXT(Semaine_1[[#This Row],[Date]],"MMMM")</f>
        <v>juin</v>
      </c>
    </row>
    <row r="84" spans="1:16" ht="28.15" x14ac:dyDescent="0.45">
      <c r="A84" s="14">
        <v>46184</v>
      </c>
      <c r="B84" s="15" t="s">
        <v>49</v>
      </c>
      <c r="C84" s="15" t="s">
        <v>43</v>
      </c>
      <c r="D84" s="15" t="s">
        <v>121</v>
      </c>
      <c r="E84" s="15" t="s">
        <v>166</v>
      </c>
      <c r="F84" s="16">
        <v>766923118</v>
      </c>
      <c r="G84" s="15" t="s">
        <v>24</v>
      </c>
      <c r="H84" s="15" t="s">
        <v>13</v>
      </c>
      <c r="I84" s="15" t="s">
        <v>16</v>
      </c>
      <c r="J84" s="15" t="s">
        <v>20</v>
      </c>
      <c r="K84" s="15" t="s">
        <v>90</v>
      </c>
      <c r="L84" s="15">
        <v>15</v>
      </c>
      <c r="M84" s="17">
        <v>9000</v>
      </c>
      <c r="N84" s="17">
        <v>135000</v>
      </c>
      <c r="O84" s="18" t="str">
        <f>"S"&amp;_xlfn.ISOWEEKNUM(Semaine_1[[#This Row],[Date]])</f>
        <v>S24</v>
      </c>
      <c r="P84" s="19" t="str">
        <f>TEXT(Semaine_1[[#This Row],[Date]],"MMMM")</f>
        <v>juin</v>
      </c>
    </row>
    <row r="85" spans="1:16" x14ac:dyDescent="0.45">
      <c r="A85" s="14">
        <v>46182</v>
      </c>
      <c r="B85" s="15" t="s">
        <v>37</v>
      </c>
      <c r="C85" s="15" t="s">
        <v>31</v>
      </c>
      <c r="D85" s="15" t="s">
        <v>52</v>
      </c>
      <c r="E85" s="15" t="s">
        <v>167</v>
      </c>
      <c r="F85" s="16">
        <v>767267003</v>
      </c>
      <c r="G85" s="15" t="s">
        <v>15</v>
      </c>
      <c r="H85" s="15" t="s">
        <v>13</v>
      </c>
      <c r="I85" s="15" t="s">
        <v>16</v>
      </c>
      <c r="J85" s="15" t="s">
        <v>168</v>
      </c>
      <c r="K85" s="15" t="s">
        <v>28</v>
      </c>
      <c r="L85" s="15">
        <v>25</v>
      </c>
      <c r="M85" s="17">
        <v>26000</v>
      </c>
      <c r="N85" s="17">
        <v>650000</v>
      </c>
      <c r="O85" s="18" t="str">
        <f>"S"&amp;_xlfn.ISOWEEKNUM(Semaine_1[[#This Row],[Date]])</f>
        <v>S24</v>
      </c>
      <c r="P85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2026-06-14T19:18:42Z</dcterms:modified>
</cp:coreProperties>
</file>