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18762915-CCC8-48A0-A53C-954A8BD33FD5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2" l="1"/>
  <c r="O32" i="2"/>
  <c r="P31" i="2"/>
  <c r="P32" i="2"/>
  <c r="O29" i="2"/>
  <c r="O30" i="2"/>
  <c r="P29" i="2"/>
  <c r="P30" i="2"/>
  <c r="O27" i="2"/>
  <c r="O28" i="2"/>
  <c r="P27" i="2"/>
  <c r="P28" i="2"/>
  <c r="O26" i="2"/>
  <c r="P26" i="2"/>
  <c r="O24" i="2"/>
  <c r="O25" i="2"/>
  <c r="P24" i="2"/>
  <c r="P25" i="2"/>
  <c r="O20" i="2"/>
  <c r="O21" i="2"/>
  <c r="O22" i="2"/>
  <c r="O23" i="2"/>
  <c r="P20" i="2"/>
  <c r="P21" i="2"/>
  <c r="P22" i="2"/>
  <c r="P23" i="2"/>
  <c r="O19" i="2"/>
  <c r="P19" i="2"/>
  <c r="O16" i="2"/>
  <c r="O17" i="2"/>
  <c r="O18" i="2"/>
  <c r="P16" i="2"/>
  <c r="P17" i="2"/>
  <c r="P18" i="2"/>
  <c r="O6" i="2"/>
  <c r="O7" i="2"/>
  <c r="O8" i="2"/>
  <c r="O9" i="2"/>
  <c r="O10" i="2"/>
  <c r="O11" i="2"/>
  <c r="O12" i="2"/>
  <c r="O13" i="2"/>
  <c r="O14" i="2"/>
  <c r="O15" i="2"/>
  <c r="P6" i="2"/>
  <c r="P7" i="2"/>
  <c r="P8" i="2"/>
  <c r="P9" i="2"/>
  <c r="P10" i="2"/>
  <c r="P11" i="2"/>
  <c r="P12" i="2"/>
  <c r="P13" i="2"/>
  <c r="P14" i="2"/>
  <c r="P15" i="2"/>
  <c r="O5" i="2"/>
  <c r="P5" i="2"/>
  <c r="O2" i="2"/>
  <c r="O3" i="2"/>
  <c r="O4" i="2"/>
  <c r="P2" i="2"/>
  <c r="P3" i="2"/>
  <c r="P4" i="2"/>
</calcChain>
</file>

<file path=xl/sharedStrings.xml><?xml version="1.0" encoding="utf-8"?>
<sst xmlns="http://schemas.openxmlformats.org/spreadsheetml/2006/main" count="295" uniqueCount="88">
  <si>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</si>
  <si>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</si>
  <si>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</si>
  <si>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</si>
  <si>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</si>
  <si>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</si>
  <si>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</si>
  <si>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</si>
  <si>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</si>
  <si>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</si>
  <si>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</si>
  <si>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</si>
  <si>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</si>
  <si>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</si>
  <si>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</si>
  <si>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</si>
  <si>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</si>
  <si>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</si>
  <si>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</si>
  <si>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</si>
  <si>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</si>
  <si>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</si>
  <si>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</si>
  <si>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</si>
  <si>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</si>
  <si>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</si>
  <si>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</si>
  <si>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</si>
  <si>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</si>
  <si>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</si>
  <si>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</si>
  <si>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GUEDIAWAYE</t>
  </si>
  <si>
    <t>Marché Ndiaréme</t>
  </si>
  <si>
    <t>Diamaguene</t>
  </si>
  <si>
    <t>Mor Diop</t>
  </si>
  <si>
    <t>Lait Janus 400gx10</t>
  </si>
  <si>
    <t>DKR Plateau</t>
  </si>
  <si>
    <t>Il apprécie le produit</t>
  </si>
  <si>
    <t xml:space="preserve">Livraison </t>
  </si>
  <si>
    <t>PNR</t>
  </si>
  <si>
    <t>Tivaouane Peulh</t>
  </si>
  <si>
    <t>Malika</t>
  </si>
  <si>
    <t>Marche Sahm</t>
  </si>
  <si>
    <t>MATAR LY</t>
  </si>
  <si>
    <t>Bargny</t>
  </si>
  <si>
    <t xml:space="preserve">RAS </t>
  </si>
  <si>
    <t>AISSATOU SALL</t>
  </si>
  <si>
    <t>Mbacké</t>
  </si>
  <si>
    <t>Il veut essayer le produit</t>
  </si>
  <si>
    <t>Lait Janus 18gx10</t>
  </si>
  <si>
    <t>Yeumbeul Mbéde Sass</t>
  </si>
  <si>
    <t>MAMDOU DIA</t>
  </si>
  <si>
    <t>Client non Partenaire</t>
  </si>
  <si>
    <t>AMINATA NDIAYE</t>
  </si>
  <si>
    <t>MAMADOU BA</t>
  </si>
  <si>
    <t>Bassirou NDAO</t>
  </si>
  <si>
    <t>Café pot Refraish 200g</t>
  </si>
  <si>
    <t>Jaxaay</t>
  </si>
  <si>
    <t>Ndioguou</t>
  </si>
  <si>
    <t>Keur Massar Sotrac</t>
  </si>
  <si>
    <t>Zac Mbao</t>
  </si>
  <si>
    <t>Ibrahima Tahirou</t>
  </si>
  <si>
    <t>Ablaye</t>
  </si>
  <si>
    <t>Abdou Rakhmane Baldé</t>
  </si>
  <si>
    <t>Refraish Evapore</t>
  </si>
  <si>
    <t>Chocolat transparent 200gx24pcs</t>
  </si>
  <si>
    <t>Chocolat transparent 400gx12pcs</t>
  </si>
  <si>
    <t>Meadowlite 25Kg</t>
  </si>
  <si>
    <t>KEUR MASSAR N°2</t>
  </si>
  <si>
    <t>Chocolat jaune 200g x 24 pcs</t>
  </si>
  <si>
    <t>Mame  Gor</t>
  </si>
  <si>
    <t>Korka</t>
  </si>
  <si>
    <t>MAME MAREME NDIAYE</t>
  </si>
  <si>
    <t>SEYNABOU SOW</t>
  </si>
  <si>
    <t>FATOUMATA TRAORE</t>
  </si>
  <si>
    <t>NDACK NDAO</t>
  </si>
  <si>
    <t>THIERNO GUISSE</t>
  </si>
  <si>
    <t>ABDOU LATIF DIENG</t>
  </si>
  <si>
    <t>NGOUYE NDIAYE</t>
  </si>
  <si>
    <t>Moustapha Amdy</t>
  </si>
  <si>
    <t>Khadame Seye</t>
  </si>
  <si>
    <t>Niakoul Rap</t>
  </si>
  <si>
    <t>Moustapha</t>
  </si>
  <si>
    <t>Modou Diop</t>
  </si>
  <si>
    <t>Sanou</t>
  </si>
  <si>
    <t>Abdoulaye  Ba</t>
  </si>
  <si>
    <t>Baye Modou</t>
  </si>
  <si>
    <t>Abdou sow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</si>
</sst>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32" totalsRowShown="0" headerRowDxfId="18" headerRowBorderDxfId="17" tableBorderDxfId="16">
  <autoFilter ref="A1:P32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32"/>
  <sheetViews>
    <sheetView tabSelected="1" zoomScale="79" zoomScaleNormal="79" workbookViewId="0">
      <selection activeCell="C17" sqref="C17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x14ac:dyDescent="0.45">
      <c r="A2" s="8">
        <v>46139</v>
      </c>
      <c r="B2" s="9" t="s">
        <v>72</v>
      </c>
      <c r="C2" s="9" t="s">
        <v>14</v>
      </c>
      <c r="D2" s="9" t="s">
        <v>36</v>
      </c>
      <c r="E2" s="9" t="s">
        <v>79</v>
      </c>
      <c r="F2" s="9">
        <v>777128516</v>
      </c>
      <c r="G2" s="9" t="s">
        <v>24</v>
      </c>
      <c r="H2" s="9" t="s">
        <v>52</v>
      </c>
      <c r="I2" s="9" t="s">
        <v>16</v>
      </c>
      <c r="J2" s="9" t="s">
        <v>38</v>
      </c>
      <c r="K2" s="9" t="s">
        <v>27</v>
      </c>
      <c r="L2" s="9">
        <v>400</v>
      </c>
      <c r="M2" s="11">
        <v>7500</v>
      </c>
      <c r="N2" s="11">
        <v>3000000</v>
      </c>
      <c r="O2" s="12" t="str">
        <f>"S"&amp;_xlfn.ISOWEEKNUM(Semaine_1[[#This Row],[Date]])</f>
        <v>S18</v>
      </c>
      <c r="P2" s="13" t="str">
        <f>TEXT(Semaine_1[[#This Row],[Date]],"MMMM")</f>
        <v>avril</v>
      </c>
    </row>
    <row r="3" spans="1:16" ht="28.15" x14ac:dyDescent="0.45">
      <c r="A3" s="8">
        <v>46139</v>
      </c>
      <c r="B3" s="9" t="s">
        <v>75</v>
      </c>
      <c r="C3" s="9" t="s">
        <v>31</v>
      </c>
      <c r="D3" s="9" t="s">
        <v>42</v>
      </c>
      <c r="E3" s="9" t="s">
        <v>76</v>
      </c>
      <c r="F3" s="10">
        <v>777132186</v>
      </c>
      <c r="G3" s="9" t="s">
        <v>15</v>
      </c>
      <c r="H3" s="9" t="s">
        <v>13</v>
      </c>
      <c r="I3" s="9" t="s">
        <v>16</v>
      </c>
      <c r="J3" s="9" t="s">
        <v>20</v>
      </c>
      <c r="K3" s="9" t="s">
        <v>67</v>
      </c>
      <c r="L3" s="9">
        <v>21</v>
      </c>
      <c r="M3" s="11">
        <v>53000</v>
      </c>
      <c r="N3" s="11">
        <v>1113000</v>
      </c>
      <c r="O3" s="12" t="str">
        <f>"S"&amp;_xlfn.ISOWEEKNUM(Semaine_1[[#This Row],[Date]])</f>
        <v>S18</v>
      </c>
      <c r="P3" s="13" t="str">
        <f>TEXT(Semaine_1[[#This Row],[Date]],"MMMM")</f>
        <v>avril</v>
      </c>
    </row>
    <row r="4" spans="1:16" ht="28.15" x14ac:dyDescent="0.45">
      <c r="A4" s="8">
        <v>46139</v>
      </c>
      <c r="B4" s="9" t="s">
        <v>75</v>
      </c>
      <c r="C4" s="9" t="s">
        <v>31</v>
      </c>
      <c r="D4" s="9" t="s">
        <v>32</v>
      </c>
      <c r="E4" s="9" t="s">
        <v>77</v>
      </c>
      <c r="F4" s="10">
        <v>776149093</v>
      </c>
      <c r="G4" s="9" t="s">
        <v>24</v>
      </c>
      <c r="H4" s="9" t="s">
        <v>13</v>
      </c>
      <c r="I4" s="9" t="s">
        <v>16</v>
      </c>
      <c r="J4" s="9" t="s">
        <v>20</v>
      </c>
      <c r="K4" s="9" t="s">
        <v>49</v>
      </c>
      <c r="L4" s="9">
        <v>25</v>
      </c>
      <c r="M4" s="11">
        <v>6000</v>
      </c>
      <c r="N4" s="11">
        <v>150000</v>
      </c>
      <c r="O4" s="12" t="str">
        <f>"S"&amp;_xlfn.ISOWEEKNUM(Semaine_1[[#This Row],[Date]])</f>
        <v>S18</v>
      </c>
      <c r="P4" s="13" t="str">
        <f>TEXT(Semaine_1[[#This Row],[Date]],"MMMM")</f>
        <v>avril</v>
      </c>
    </row>
    <row r="5" spans="1:16" ht="28.15" x14ac:dyDescent="0.45">
      <c r="A5" s="8">
        <v>46139</v>
      </c>
      <c r="B5" s="9" t="s">
        <v>74</v>
      </c>
      <c r="C5" s="9" t="s">
        <v>23</v>
      </c>
      <c r="D5" s="9" t="s">
        <v>59</v>
      </c>
      <c r="E5" s="9" t="s">
        <v>80</v>
      </c>
      <c r="F5" s="10">
        <v>774249189</v>
      </c>
      <c r="G5" s="9" t="s">
        <v>15</v>
      </c>
      <c r="H5" s="9" t="s">
        <v>13</v>
      </c>
      <c r="I5" s="9" t="s">
        <v>16</v>
      </c>
      <c r="J5" s="9" t="s">
        <v>45</v>
      </c>
      <c r="K5" s="9" t="s">
        <v>30</v>
      </c>
      <c r="L5" s="9">
        <v>25</v>
      </c>
      <c r="M5" s="11">
        <v>26000</v>
      </c>
      <c r="N5" s="11">
        <v>650000</v>
      </c>
      <c r="O5" s="12" t="str">
        <f>"S"&amp;_xlfn.ISOWEEKNUM(Semaine_1[[#This Row],[Date]])</f>
        <v>S18</v>
      </c>
      <c r="P5" s="13" t="str">
        <f>TEXT(Semaine_1[[#This Row],[Date]],"MMMM")</f>
        <v>avril</v>
      </c>
    </row>
    <row r="6" spans="1:16" ht="28.15" x14ac:dyDescent="0.45">
      <c r="A6" s="8">
        <v>46140</v>
      </c>
      <c r="B6" s="9" t="s">
        <v>78</v>
      </c>
      <c r="C6" s="9" t="s">
        <v>68</v>
      </c>
      <c r="D6" s="9" t="s">
        <v>81</v>
      </c>
      <c r="E6" s="9" t="s">
        <v>82</v>
      </c>
      <c r="F6" s="10">
        <v>776528748</v>
      </c>
      <c r="G6" s="9" t="s">
        <v>15</v>
      </c>
      <c r="H6" s="9" t="s">
        <v>13</v>
      </c>
      <c r="I6" s="9" t="s">
        <v>16</v>
      </c>
      <c r="J6" s="9" t="s">
        <v>20</v>
      </c>
      <c r="K6" s="9" t="s">
        <v>69</v>
      </c>
      <c r="L6" s="9">
        <v>1</v>
      </c>
      <c r="M6" s="11">
        <v>15500</v>
      </c>
      <c r="N6" s="11">
        <v>15500</v>
      </c>
      <c r="O6" s="12" t="str">
        <f>"S"&amp;_xlfn.ISOWEEKNUM(Semaine_1[[#This Row],[Date]])</f>
        <v>S18</v>
      </c>
      <c r="P6" s="13" t="str">
        <f>TEXT(Semaine_1[[#This Row],[Date]],"MMMM")</f>
        <v>avril</v>
      </c>
    </row>
    <row r="7" spans="1:16" ht="28.15" x14ac:dyDescent="0.45">
      <c r="A7" s="8">
        <v>46140</v>
      </c>
      <c r="B7" s="9" t="s">
        <v>78</v>
      </c>
      <c r="C7" s="9" t="s">
        <v>68</v>
      </c>
      <c r="D7" s="9" t="s">
        <v>81</v>
      </c>
      <c r="E7" s="9" t="s">
        <v>82</v>
      </c>
      <c r="F7" s="10">
        <v>776528748</v>
      </c>
      <c r="G7" s="9" t="s">
        <v>15</v>
      </c>
      <c r="H7" s="9" t="s">
        <v>13</v>
      </c>
      <c r="I7" s="9" t="s">
        <v>16</v>
      </c>
      <c r="J7" s="9" t="s">
        <v>20</v>
      </c>
      <c r="K7" s="9" t="s">
        <v>67</v>
      </c>
      <c r="L7" s="9">
        <v>66</v>
      </c>
      <c r="M7" s="11">
        <v>53000</v>
      </c>
      <c r="N7" s="11">
        <v>3498000</v>
      </c>
      <c r="O7" s="12" t="str">
        <f>"S"&amp;_xlfn.ISOWEEKNUM(Semaine_1[[#This Row],[Date]])</f>
        <v>S18</v>
      </c>
      <c r="P7" s="13" t="str">
        <f>TEXT(Semaine_1[[#This Row],[Date]],"MMMM")</f>
        <v>avril</v>
      </c>
    </row>
    <row r="8" spans="1:16" ht="28.15" x14ac:dyDescent="0.45">
      <c r="A8" s="8">
        <v>46140</v>
      </c>
      <c r="B8" s="9" t="s">
        <v>78</v>
      </c>
      <c r="C8" s="9" t="s">
        <v>68</v>
      </c>
      <c r="D8" s="9" t="s">
        <v>81</v>
      </c>
      <c r="E8" s="9" t="s">
        <v>82</v>
      </c>
      <c r="F8" s="10">
        <v>776528748</v>
      </c>
      <c r="G8" s="9" t="s">
        <v>15</v>
      </c>
      <c r="H8" s="9" t="s">
        <v>13</v>
      </c>
      <c r="I8" s="9" t="s">
        <v>16</v>
      </c>
      <c r="J8" s="9" t="s">
        <v>20</v>
      </c>
      <c r="K8" s="9" t="s">
        <v>30</v>
      </c>
      <c r="L8" s="9">
        <v>9</v>
      </c>
      <c r="M8" s="11">
        <v>26000</v>
      </c>
      <c r="N8" s="11">
        <v>234000</v>
      </c>
      <c r="O8" s="12" t="str">
        <f>"S"&amp;_xlfn.ISOWEEKNUM(Semaine_1[[#This Row],[Date]])</f>
        <v>S18</v>
      </c>
      <c r="P8" s="13" t="str">
        <f>TEXT(Semaine_1[[#This Row],[Date]],"MMMM")</f>
        <v>avril</v>
      </c>
    </row>
    <row r="9" spans="1:16" ht="28.15" x14ac:dyDescent="0.45">
      <c r="A9" s="8">
        <v>46140</v>
      </c>
      <c r="B9" s="9" t="s">
        <v>75</v>
      </c>
      <c r="C9" s="9" t="s">
        <v>31</v>
      </c>
      <c r="D9" s="9" t="s">
        <v>42</v>
      </c>
      <c r="E9" s="9" t="s">
        <v>43</v>
      </c>
      <c r="F9" s="10">
        <v>773531341</v>
      </c>
      <c r="G9" s="9" t="s">
        <v>15</v>
      </c>
      <c r="H9" s="9" t="s">
        <v>13</v>
      </c>
      <c r="I9" s="9" t="s">
        <v>16</v>
      </c>
      <c r="J9" s="9" t="s">
        <v>20</v>
      </c>
      <c r="K9" s="9" t="s">
        <v>30</v>
      </c>
      <c r="L9" s="9">
        <v>200</v>
      </c>
      <c r="M9" s="11">
        <v>26000</v>
      </c>
      <c r="N9" s="11">
        <v>5200000</v>
      </c>
      <c r="O9" s="12" t="str">
        <f>"S"&amp;_xlfn.ISOWEEKNUM(Semaine_1[[#This Row],[Date]])</f>
        <v>S18</v>
      </c>
      <c r="P9" s="13" t="str">
        <f>TEXT(Semaine_1[[#This Row],[Date]],"MMMM")</f>
        <v>avril</v>
      </c>
    </row>
    <row r="10" spans="1:16" ht="28.15" x14ac:dyDescent="0.45">
      <c r="A10" s="8">
        <v>46140</v>
      </c>
      <c r="B10" s="9" t="s">
        <v>75</v>
      </c>
      <c r="C10" s="9" t="s">
        <v>31</v>
      </c>
      <c r="D10" s="9" t="s">
        <v>50</v>
      </c>
      <c r="E10" s="9" t="s">
        <v>51</v>
      </c>
      <c r="F10" s="10">
        <v>768059355</v>
      </c>
      <c r="G10" s="9" t="s">
        <v>15</v>
      </c>
      <c r="H10" s="9" t="s">
        <v>13</v>
      </c>
      <c r="I10" s="9" t="s">
        <v>16</v>
      </c>
      <c r="J10" s="9" t="s">
        <v>20</v>
      </c>
      <c r="K10" s="9" t="s">
        <v>27</v>
      </c>
      <c r="L10" s="9">
        <v>200</v>
      </c>
      <c r="M10" s="11">
        <v>9000</v>
      </c>
      <c r="N10" s="11">
        <v>1800000</v>
      </c>
      <c r="O10" s="12" t="str">
        <f>"S"&amp;_xlfn.ISOWEEKNUM(Semaine_1[[#This Row],[Date]])</f>
        <v>S18</v>
      </c>
      <c r="P10" s="13" t="str">
        <f>TEXT(Semaine_1[[#This Row],[Date]],"MMMM")</f>
        <v>avril</v>
      </c>
    </row>
    <row r="11" spans="1:16" ht="28.15" x14ac:dyDescent="0.45">
      <c r="A11" s="8">
        <v>46140</v>
      </c>
      <c r="B11" s="9" t="s">
        <v>74</v>
      </c>
      <c r="C11" s="9" t="s">
        <v>23</v>
      </c>
      <c r="D11" s="9" t="s">
        <v>40</v>
      </c>
      <c r="E11" s="9" t="s">
        <v>83</v>
      </c>
      <c r="F11" s="10">
        <v>761490227</v>
      </c>
      <c r="G11" s="9" t="s">
        <v>15</v>
      </c>
      <c r="H11" s="9" t="s">
        <v>13</v>
      </c>
      <c r="I11" s="9" t="s">
        <v>16</v>
      </c>
      <c r="J11" s="9" t="s">
        <v>45</v>
      </c>
      <c r="K11" s="9" t="s">
        <v>67</v>
      </c>
      <c r="L11" s="9">
        <v>25</v>
      </c>
      <c r="M11" s="11">
        <v>53000</v>
      </c>
      <c r="N11" s="11">
        <v>1325000</v>
      </c>
      <c r="O11" s="12" t="str">
        <f>"S"&amp;_xlfn.ISOWEEKNUM(Semaine_1[[#This Row],[Date]])</f>
        <v>S18</v>
      </c>
      <c r="P11" s="13" t="str">
        <f>TEXT(Semaine_1[[#This Row],[Date]],"MMMM")</f>
        <v>avril</v>
      </c>
    </row>
    <row r="12" spans="1:16" ht="28.15" x14ac:dyDescent="0.45">
      <c r="A12" s="8">
        <v>46140</v>
      </c>
      <c r="B12" s="9" t="s">
        <v>74</v>
      </c>
      <c r="C12" s="9" t="s">
        <v>23</v>
      </c>
      <c r="D12" s="9" t="s">
        <v>40</v>
      </c>
      <c r="E12" s="9" t="s">
        <v>84</v>
      </c>
      <c r="F12" s="10">
        <v>772625989</v>
      </c>
      <c r="G12" s="9" t="s">
        <v>15</v>
      </c>
      <c r="H12" s="9" t="s">
        <v>13</v>
      </c>
      <c r="I12" s="9" t="s">
        <v>16</v>
      </c>
      <c r="J12" s="9" t="s">
        <v>45</v>
      </c>
      <c r="K12" s="9" t="s">
        <v>67</v>
      </c>
      <c r="L12" s="9">
        <v>10</v>
      </c>
      <c r="M12" s="11">
        <v>53000</v>
      </c>
      <c r="N12" s="11">
        <v>530000</v>
      </c>
      <c r="O12" s="12" t="str">
        <f>"S"&amp;_xlfn.ISOWEEKNUM(Semaine_1[[#This Row],[Date]])</f>
        <v>S18</v>
      </c>
      <c r="P12" s="13" t="str">
        <f>TEXT(Semaine_1[[#This Row],[Date]],"MMMM")</f>
        <v>avril</v>
      </c>
    </row>
    <row r="13" spans="1:16" x14ac:dyDescent="0.45">
      <c r="A13" s="8">
        <v>46140</v>
      </c>
      <c r="B13" s="9" t="s">
        <v>53</v>
      </c>
      <c r="C13" s="9" t="s">
        <v>39</v>
      </c>
      <c r="D13" s="9" t="s">
        <v>39</v>
      </c>
      <c r="E13" s="9" t="s">
        <v>62</v>
      </c>
      <c r="F13" s="10">
        <v>773122246</v>
      </c>
      <c r="G13" s="9" t="s">
        <v>15</v>
      </c>
      <c r="H13" s="9" t="s">
        <v>13</v>
      </c>
      <c r="I13" s="9" t="s">
        <v>16</v>
      </c>
      <c r="J13" s="9" t="s">
        <v>48</v>
      </c>
      <c r="K13" s="9" t="s">
        <v>64</v>
      </c>
      <c r="L13" s="9">
        <v>25</v>
      </c>
      <c r="M13" s="11">
        <v>9000</v>
      </c>
      <c r="N13" s="11">
        <v>225000</v>
      </c>
      <c r="O13" s="12" t="str">
        <f>"S"&amp;_xlfn.ISOWEEKNUM(Semaine_1[[#This Row],[Date]])</f>
        <v>S18</v>
      </c>
      <c r="P13" s="13" t="str">
        <f>TEXT(Semaine_1[[#This Row],[Date]],"MMMM")</f>
        <v>avril</v>
      </c>
    </row>
    <row r="14" spans="1:16" x14ac:dyDescent="0.45">
      <c r="A14" s="8">
        <v>46141</v>
      </c>
      <c r="B14" s="9" t="s">
        <v>73</v>
      </c>
      <c r="C14" s="9" t="s">
        <v>25</v>
      </c>
      <c r="D14" s="9" t="s">
        <v>28</v>
      </c>
      <c r="E14" s="9" t="s">
        <v>34</v>
      </c>
      <c r="F14" s="10">
        <v>777262311</v>
      </c>
      <c r="G14" s="9" t="s">
        <v>15</v>
      </c>
      <c r="H14" s="9" t="s">
        <v>13</v>
      </c>
      <c r="I14" s="9" t="s">
        <v>16</v>
      </c>
      <c r="J14" s="9" t="s">
        <v>26</v>
      </c>
      <c r="K14" s="9" t="s">
        <v>64</v>
      </c>
      <c r="L14" s="9">
        <v>2</v>
      </c>
      <c r="M14" s="11">
        <v>9000</v>
      </c>
      <c r="N14" s="11">
        <v>18000</v>
      </c>
      <c r="O14" s="12" t="str">
        <f>"S"&amp;_xlfn.ISOWEEKNUM(Semaine_1[[#This Row],[Date]])</f>
        <v>S18</v>
      </c>
      <c r="P14" s="13" t="str">
        <f>TEXT(Semaine_1[[#This Row],[Date]],"MMMM")</f>
        <v>avril</v>
      </c>
    </row>
    <row r="15" spans="1:16" x14ac:dyDescent="0.45">
      <c r="A15" s="8">
        <v>46141</v>
      </c>
      <c r="B15" s="9" t="s">
        <v>73</v>
      </c>
      <c r="C15" s="9" t="s">
        <v>25</v>
      </c>
      <c r="D15" s="9" t="s">
        <v>28</v>
      </c>
      <c r="E15" s="9" t="s">
        <v>34</v>
      </c>
      <c r="F15" s="10">
        <v>777262311</v>
      </c>
      <c r="G15" s="9" t="s">
        <v>15</v>
      </c>
      <c r="H15" s="9" t="s">
        <v>13</v>
      </c>
      <c r="I15" s="9" t="s">
        <v>16</v>
      </c>
      <c r="J15" s="9" t="s">
        <v>26</v>
      </c>
      <c r="K15" s="9" t="s">
        <v>35</v>
      </c>
      <c r="L15" s="9">
        <v>1</v>
      </c>
      <c r="M15" s="11">
        <v>12000</v>
      </c>
      <c r="N15" s="11">
        <v>12000</v>
      </c>
      <c r="O15" s="12" t="str">
        <f>"S"&amp;_xlfn.ISOWEEKNUM(Semaine_1[[#This Row],[Date]])</f>
        <v>S18</v>
      </c>
      <c r="P15" s="13" t="str">
        <f>TEXT(Semaine_1[[#This Row],[Date]],"MMMM")</f>
        <v>avril</v>
      </c>
    </row>
    <row r="16" spans="1:16" x14ac:dyDescent="0.45">
      <c r="A16" s="8">
        <v>46141</v>
      </c>
      <c r="B16" s="9" t="s">
        <v>73</v>
      </c>
      <c r="C16" s="9" t="s">
        <v>25</v>
      </c>
      <c r="D16" s="9" t="s">
        <v>28</v>
      </c>
      <c r="E16" s="9" t="s">
        <v>58</v>
      </c>
      <c r="F16" s="10">
        <v>776634479</v>
      </c>
      <c r="G16" s="9" t="s">
        <v>15</v>
      </c>
      <c r="H16" s="9" t="s">
        <v>13</v>
      </c>
      <c r="I16" s="9" t="s">
        <v>16</v>
      </c>
      <c r="J16" s="9" t="s">
        <v>26</v>
      </c>
      <c r="K16" s="9" t="s">
        <v>56</v>
      </c>
      <c r="L16" s="9">
        <v>2</v>
      </c>
      <c r="M16" s="11">
        <v>19500</v>
      </c>
      <c r="N16" s="11">
        <v>39000</v>
      </c>
      <c r="O16" s="12" t="str">
        <f>"S"&amp;_xlfn.ISOWEEKNUM(Semaine_1[[#This Row],[Date]])</f>
        <v>S18</v>
      </c>
      <c r="P16" s="13" t="str">
        <f>TEXT(Semaine_1[[#This Row],[Date]],"MMMM")</f>
        <v>avril</v>
      </c>
    </row>
    <row r="17" spans="1:16" x14ac:dyDescent="0.45">
      <c r="A17" s="8">
        <v>46141</v>
      </c>
      <c r="B17" s="9" t="s">
        <v>73</v>
      </c>
      <c r="C17" s="9" t="s">
        <v>25</v>
      </c>
      <c r="D17" s="9" t="s">
        <v>28</v>
      </c>
      <c r="E17" s="9" t="s">
        <v>58</v>
      </c>
      <c r="F17" s="10">
        <v>776634479</v>
      </c>
      <c r="G17" s="9" t="s">
        <v>15</v>
      </c>
      <c r="H17" s="9" t="s">
        <v>13</v>
      </c>
      <c r="I17" s="9" t="s">
        <v>16</v>
      </c>
      <c r="J17" s="9" t="s">
        <v>26</v>
      </c>
      <c r="K17" s="9" t="s">
        <v>67</v>
      </c>
      <c r="L17" s="9">
        <v>10</v>
      </c>
      <c r="M17" s="11">
        <v>53000</v>
      </c>
      <c r="N17" s="11">
        <v>530000</v>
      </c>
      <c r="O17" s="12" t="str">
        <f>"S"&amp;_xlfn.ISOWEEKNUM(Semaine_1[[#This Row],[Date]])</f>
        <v>S18</v>
      </c>
      <c r="P17" s="13" t="str">
        <f>TEXT(Semaine_1[[#This Row],[Date]],"MMMM")</f>
        <v>avril</v>
      </c>
    </row>
    <row r="18" spans="1:16" x14ac:dyDescent="0.45">
      <c r="A18" s="8">
        <v>46141</v>
      </c>
      <c r="B18" s="9" t="s">
        <v>73</v>
      </c>
      <c r="C18" s="9" t="s">
        <v>25</v>
      </c>
      <c r="D18" s="9" t="s">
        <v>28</v>
      </c>
      <c r="E18" s="9" t="s">
        <v>55</v>
      </c>
      <c r="F18" s="10">
        <v>775544532</v>
      </c>
      <c r="G18" s="9" t="s">
        <v>24</v>
      </c>
      <c r="H18" s="9" t="s">
        <v>13</v>
      </c>
      <c r="I18" s="9" t="s">
        <v>16</v>
      </c>
      <c r="J18" s="9" t="s">
        <v>26</v>
      </c>
      <c r="K18" s="9" t="s">
        <v>30</v>
      </c>
      <c r="L18" s="9">
        <v>25</v>
      </c>
      <c r="M18" s="11">
        <v>26000</v>
      </c>
      <c r="N18" s="11">
        <v>650000</v>
      </c>
      <c r="O18" s="12" t="str">
        <f>"S"&amp;_xlfn.ISOWEEKNUM(Semaine_1[[#This Row],[Date]])</f>
        <v>S18</v>
      </c>
      <c r="P18" s="13" t="str">
        <f>TEXT(Semaine_1[[#This Row],[Date]],"MMMM")</f>
        <v>avril</v>
      </c>
    </row>
    <row r="19" spans="1:16" x14ac:dyDescent="0.45">
      <c r="A19" s="8">
        <v>46140</v>
      </c>
      <c r="B19" s="9" t="s">
        <v>73</v>
      </c>
      <c r="C19" s="9" t="s">
        <v>25</v>
      </c>
      <c r="D19" s="9" t="s">
        <v>33</v>
      </c>
      <c r="E19" s="9" t="s">
        <v>71</v>
      </c>
      <c r="F19" s="10">
        <v>772131614</v>
      </c>
      <c r="G19" s="9" t="s">
        <v>15</v>
      </c>
      <c r="H19" s="9" t="s">
        <v>13</v>
      </c>
      <c r="I19" s="9" t="s">
        <v>16</v>
      </c>
      <c r="J19" s="9" t="s">
        <v>26</v>
      </c>
      <c r="K19" s="9" t="s">
        <v>56</v>
      </c>
      <c r="L19" s="9">
        <v>1</v>
      </c>
      <c r="M19" s="11">
        <v>19500</v>
      </c>
      <c r="N19" s="11">
        <v>19500</v>
      </c>
      <c r="O19" s="12" t="str">
        <f>"S"&amp;_xlfn.ISOWEEKNUM(Semaine_1[[#This Row],[Date]])</f>
        <v>S18</v>
      </c>
      <c r="P19" s="13" t="str">
        <f>TEXT(Semaine_1[[#This Row],[Date]],"MMMM")</f>
        <v>avril</v>
      </c>
    </row>
    <row r="20" spans="1:16" x14ac:dyDescent="0.45">
      <c r="A20" s="8">
        <v>46140</v>
      </c>
      <c r="B20" s="9" t="s">
        <v>73</v>
      </c>
      <c r="C20" s="9" t="s">
        <v>25</v>
      </c>
      <c r="D20" s="9" t="s">
        <v>33</v>
      </c>
      <c r="E20" s="9" t="s">
        <v>85</v>
      </c>
      <c r="F20" s="10">
        <v>778291515</v>
      </c>
      <c r="G20" s="9" t="s">
        <v>15</v>
      </c>
      <c r="H20" s="9" t="s">
        <v>13</v>
      </c>
      <c r="I20" s="9" t="s">
        <v>16</v>
      </c>
      <c r="J20" s="9" t="s">
        <v>26</v>
      </c>
      <c r="K20" s="9" t="s">
        <v>29</v>
      </c>
      <c r="L20" s="9">
        <v>3</v>
      </c>
      <c r="M20" s="11">
        <v>28000</v>
      </c>
      <c r="N20" s="11">
        <v>84000</v>
      </c>
      <c r="O20" s="12" t="str">
        <f>"S"&amp;_xlfn.ISOWEEKNUM(Semaine_1[[#This Row],[Date]])</f>
        <v>S18</v>
      </c>
      <c r="P20" s="13" t="str">
        <f>TEXT(Semaine_1[[#This Row],[Date]],"MMMM")</f>
        <v>avril</v>
      </c>
    </row>
    <row r="21" spans="1:16" x14ac:dyDescent="0.45">
      <c r="A21" s="8">
        <v>46140</v>
      </c>
      <c r="B21" s="9" t="s">
        <v>73</v>
      </c>
      <c r="C21" s="9" t="s">
        <v>25</v>
      </c>
      <c r="D21" s="9" t="s">
        <v>33</v>
      </c>
      <c r="E21" s="9" t="s">
        <v>71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26</v>
      </c>
      <c r="K21" s="9" t="s">
        <v>30</v>
      </c>
      <c r="L21" s="9">
        <v>1</v>
      </c>
      <c r="M21" s="11">
        <v>26000</v>
      </c>
      <c r="N21" s="11">
        <v>26000</v>
      </c>
      <c r="O21" s="12" t="str">
        <f>"S"&amp;_xlfn.ISOWEEKNUM(Semaine_1[[#This Row],[Date]])</f>
        <v>S18</v>
      </c>
      <c r="P21" s="13" t="str">
        <f>TEXT(Semaine_1[[#This Row],[Date]],"MMMM")</f>
        <v>avril</v>
      </c>
    </row>
    <row r="22" spans="1:16" x14ac:dyDescent="0.45">
      <c r="A22" s="8">
        <v>46140</v>
      </c>
      <c r="B22" s="9" t="s">
        <v>73</v>
      </c>
      <c r="C22" s="9" t="s">
        <v>25</v>
      </c>
      <c r="D22" s="9" t="s">
        <v>33</v>
      </c>
      <c r="E22" s="9" t="s">
        <v>70</v>
      </c>
      <c r="F22" s="10">
        <v>708015391</v>
      </c>
      <c r="G22" s="9" t="s">
        <v>15</v>
      </c>
      <c r="H22" s="9" t="s">
        <v>13</v>
      </c>
      <c r="I22" s="9" t="s">
        <v>16</v>
      </c>
      <c r="J22" s="9" t="s">
        <v>26</v>
      </c>
      <c r="K22" s="9" t="s">
        <v>67</v>
      </c>
      <c r="L22" s="9">
        <v>6</v>
      </c>
      <c r="M22" s="11">
        <v>53000</v>
      </c>
      <c r="N22" s="11">
        <v>318000</v>
      </c>
      <c r="O22" s="12" t="str">
        <f>"S"&amp;_xlfn.ISOWEEKNUM(Semaine_1[[#This Row],[Date]])</f>
        <v>S18</v>
      </c>
      <c r="P22" s="13" t="str">
        <f>TEXT(Semaine_1[[#This Row],[Date]],"MMMM")</f>
        <v>avril</v>
      </c>
    </row>
    <row r="23" spans="1:16" x14ac:dyDescent="0.45">
      <c r="A23" s="8">
        <v>46140</v>
      </c>
      <c r="B23" s="9" t="s">
        <v>73</v>
      </c>
      <c r="C23" s="9" t="s">
        <v>25</v>
      </c>
      <c r="D23" s="9" t="s">
        <v>33</v>
      </c>
      <c r="E23" s="9" t="s">
        <v>70</v>
      </c>
      <c r="F23" s="10">
        <v>708015391</v>
      </c>
      <c r="G23" s="9" t="s">
        <v>15</v>
      </c>
      <c r="H23" s="9" t="s">
        <v>13</v>
      </c>
      <c r="I23" s="9" t="s">
        <v>16</v>
      </c>
      <c r="J23" s="9" t="s">
        <v>26</v>
      </c>
      <c r="K23" s="9" t="s">
        <v>64</v>
      </c>
      <c r="L23" s="9">
        <v>5</v>
      </c>
      <c r="M23" s="11">
        <v>9000</v>
      </c>
      <c r="N23" s="11">
        <v>45000</v>
      </c>
      <c r="O23" s="12" t="str">
        <f>"S"&amp;_xlfn.ISOWEEKNUM(Semaine_1[[#This Row],[Date]])</f>
        <v>S18</v>
      </c>
      <c r="P23" s="13" t="str">
        <f>TEXT(Semaine_1[[#This Row],[Date]],"MMMM")</f>
        <v>avril</v>
      </c>
    </row>
    <row r="24" spans="1:16" ht="28.15" x14ac:dyDescent="0.45">
      <c r="A24" s="8">
        <v>46141</v>
      </c>
      <c r="B24" s="9" t="s">
        <v>75</v>
      </c>
      <c r="C24" s="9" t="s">
        <v>31</v>
      </c>
      <c r="D24" s="9" t="s">
        <v>32</v>
      </c>
      <c r="E24" s="9" t="s">
        <v>46</v>
      </c>
      <c r="F24" s="10">
        <v>776428218</v>
      </c>
      <c r="G24" s="9" t="s">
        <v>24</v>
      </c>
      <c r="H24" s="9" t="s">
        <v>13</v>
      </c>
      <c r="I24" s="9" t="s">
        <v>16</v>
      </c>
      <c r="J24" s="9" t="s">
        <v>20</v>
      </c>
      <c r="K24" s="9" t="s">
        <v>27</v>
      </c>
      <c r="L24" s="9">
        <v>1000</v>
      </c>
      <c r="M24" s="11">
        <v>7500</v>
      </c>
      <c r="N24" s="11">
        <v>7500000</v>
      </c>
      <c r="O24" s="12" t="str">
        <f>"S"&amp;_xlfn.ISOWEEKNUM(Semaine_1[[#This Row],[Date]])</f>
        <v>S18</v>
      </c>
      <c r="P24" s="13" t="str">
        <f>TEXT(Semaine_1[[#This Row],[Date]],"MMMM")</f>
        <v>avril</v>
      </c>
    </row>
    <row r="25" spans="1:16" ht="28.15" x14ac:dyDescent="0.45">
      <c r="A25" s="8">
        <v>46141</v>
      </c>
      <c r="B25" s="9" t="s">
        <v>54</v>
      </c>
      <c r="C25" s="9" t="s">
        <v>21</v>
      </c>
      <c r="D25" s="9" t="s">
        <v>22</v>
      </c>
      <c r="E25" s="9" t="s">
        <v>86</v>
      </c>
      <c r="F25" s="10">
        <v>760169386</v>
      </c>
      <c r="G25" s="9" t="s">
        <v>15</v>
      </c>
      <c r="H25" s="9" t="s">
        <v>13</v>
      </c>
      <c r="I25" s="9" t="s">
        <v>16</v>
      </c>
      <c r="J25" s="9" t="s">
        <v>20</v>
      </c>
      <c r="K25" s="9" t="s">
        <v>30</v>
      </c>
      <c r="L25" s="9">
        <v>25</v>
      </c>
      <c r="M25" s="11">
        <v>26000</v>
      </c>
      <c r="N25" s="11">
        <v>650000</v>
      </c>
      <c r="O25" s="12" t="str">
        <f>"S"&amp;_xlfn.ISOWEEKNUM(Semaine_1[[#This Row],[Date]])</f>
        <v>S18</v>
      </c>
      <c r="P25" s="13" t="str">
        <f>TEXT(Semaine_1[[#This Row],[Date]],"MMMM")</f>
        <v>avril</v>
      </c>
    </row>
    <row r="26" spans="1:16" x14ac:dyDescent="0.45">
      <c r="A26" s="8">
        <v>46141</v>
      </c>
      <c r="B26" s="9" t="s">
        <v>53</v>
      </c>
      <c r="C26" s="9" t="s">
        <v>39</v>
      </c>
      <c r="D26" s="9" t="s">
        <v>57</v>
      </c>
      <c r="E26" s="9" t="s">
        <v>62</v>
      </c>
      <c r="F26" s="10">
        <v>776818022</v>
      </c>
      <c r="G26" s="9" t="s">
        <v>24</v>
      </c>
      <c r="H26" s="9" t="s">
        <v>13</v>
      </c>
      <c r="I26" s="9" t="s">
        <v>16</v>
      </c>
      <c r="J26" s="9" t="s">
        <v>48</v>
      </c>
      <c r="K26" s="9" t="s">
        <v>56</v>
      </c>
      <c r="L26" s="9">
        <v>25</v>
      </c>
      <c r="M26" s="11">
        <v>19500</v>
      </c>
      <c r="N26" s="11">
        <v>487500</v>
      </c>
      <c r="O26" s="12" t="str">
        <f>"S"&amp;_xlfn.ISOWEEKNUM(Semaine_1[[#This Row],[Date]])</f>
        <v>S18</v>
      </c>
      <c r="P26" s="13" t="str">
        <f>TEXT(Semaine_1[[#This Row],[Date]],"MMMM")</f>
        <v>avril</v>
      </c>
    </row>
    <row r="27" spans="1:16" ht="28.15" x14ac:dyDescent="0.45">
      <c r="A27" s="8">
        <v>46142</v>
      </c>
      <c r="B27" s="9" t="s">
        <v>72</v>
      </c>
      <c r="C27" s="9" t="s">
        <v>14</v>
      </c>
      <c r="D27" s="9" t="s">
        <v>36</v>
      </c>
      <c r="E27" s="9" t="s">
        <v>47</v>
      </c>
      <c r="F27" s="10">
        <v>779486095</v>
      </c>
      <c r="G27" s="9" t="s">
        <v>15</v>
      </c>
      <c r="H27" s="9" t="s">
        <v>13</v>
      </c>
      <c r="I27" s="9" t="s">
        <v>16</v>
      </c>
      <c r="J27" s="9" t="s">
        <v>38</v>
      </c>
      <c r="K27" s="9" t="s">
        <v>66</v>
      </c>
      <c r="L27" s="9">
        <v>10</v>
      </c>
      <c r="M27" s="11">
        <v>12500</v>
      </c>
      <c r="N27" s="11">
        <v>125000</v>
      </c>
      <c r="O27" s="12" t="str">
        <f>"S"&amp;_xlfn.ISOWEEKNUM(Semaine_1[[#This Row],[Date]])</f>
        <v>S18</v>
      </c>
      <c r="P27" s="13" t="str">
        <f>TEXT(Semaine_1[[#This Row],[Date]],"MMMM")</f>
        <v>avril</v>
      </c>
    </row>
    <row r="28" spans="1:16" ht="28.15" x14ac:dyDescent="0.45">
      <c r="A28" s="8">
        <v>46142</v>
      </c>
      <c r="B28" s="9" t="s">
        <v>72</v>
      </c>
      <c r="C28" s="9" t="s">
        <v>14</v>
      </c>
      <c r="D28" s="9" t="s">
        <v>36</v>
      </c>
      <c r="E28" s="9" t="s">
        <v>47</v>
      </c>
      <c r="F28" s="10">
        <v>779486095</v>
      </c>
      <c r="G28" s="9" t="s">
        <v>15</v>
      </c>
      <c r="H28" s="9" t="s">
        <v>13</v>
      </c>
      <c r="I28" s="9" t="s">
        <v>16</v>
      </c>
      <c r="J28" s="9" t="s">
        <v>38</v>
      </c>
      <c r="K28" s="9" t="s">
        <v>65</v>
      </c>
      <c r="L28" s="9">
        <v>15</v>
      </c>
      <c r="M28" s="11">
        <v>12500</v>
      </c>
      <c r="N28" s="11">
        <v>187500</v>
      </c>
      <c r="O28" s="12" t="str">
        <f>"S"&amp;_xlfn.ISOWEEKNUM(Semaine_1[[#This Row],[Date]])</f>
        <v>S18</v>
      </c>
      <c r="P28" s="13" t="str">
        <f>TEXT(Semaine_1[[#This Row],[Date]],"MMMM")</f>
        <v>avril</v>
      </c>
    </row>
    <row r="29" spans="1:16" x14ac:dyDescent="0.45">
      <c r="A29" s="8">
        <v>46142</v>
      </c>
      <c r="B29" s="9" t="s">
        <v>53</v>
      </c>
      <c r="C29" s="9" t="s">
        <v>39</v>
      </c>
      <c r="D29" s="9" t="s">
        <v>44</v>
      </c>
      <c r="E29" s="9" t="s">
        <v>63</v>
      </c>
      <c r="F29" s="10">
        <v>774993694</v>
      </c>
      <c r="G29" s="9" t="s">
        <v>15</v>
      </c>
      <c r="H29" s="9" t="s">
        <v>13</v>
      </c>
      <c r="I29" s="9" t="s">
        <v>16</v>
      </c>
      <c r="J29" s="9" t="s">
        <v>37</v>
      </c>
      <c r="K29" s="9" t="s">
        <v>49</v>
      </c>
      <c r="L29" s="9">
        <v>1</v>
      </c>
      <c r="M29" s="11">
        <v>6000</v>
      </c>
      <c r="N29" s="11">
        <v>6000</v>
      </c>
      <c r="O29" s="12" t="str">
        <f>"S"&amp;_xlfn.ISOWEEKNUM(Semaine_1[[#This Row],[Date]])</f>
        <v>S18</v>
      </c>
      <c r="P29" s="13" t="str">
        <f>TEXT(Semaine_1[[#This Row],[Date]],"MMMM")</f>
        <v>avril</v>
      </c>
    </row>
    <row r="30" spans="1:16" x14ac:dyDescent="0.45">
      <c r="A30" s="8">
        <v>46142</v>
      </c>
      <c r="B30" s="9" t="s">
        <v>53</v>
      </c>
      <c r="C30" s="9" t="s">
        <v>39</v>
      </c>
      <c r="D30" s="9" t="s">
        <v>44</v>
      </c>
      <c r="E30" s="9" t="s">
        <v>63</v>
      </c>
      <c r="F30" s="10">
        <v>774993694</v>
      </c>
      <c r="G30" s="9" t="s">
        <v>15</v>
      </c>
      <c r="H30" s="9" t="s">
        <v>13</v>
      </c>
      <c r="I30" s="9" t="s">
        <v>16</v>
      </c>
      <c r="J30" s="9" t="s">
        <v>37</v>
      </c>
      <c r="K30" s="9" t="s">
        <v>56</v>
      </c>
      <c r="L30" s="9">
        <v>50</v>
      </c>
      <c r="M30" s="11">
        <v>19500</v>
      </c>
      <c r="N30" s="11">
        <v>975000</v>
      </c>
      <c r="O30" s="12" t="str">
        <f>"S"&amp;_xlfn.ISOWEEKNUM(Semaine_1[[#This Row],[Date]])</f>
        <v>S18</v>
      </c>
      <c r="P30" s="13" t="str">
        <f>TEXT(Semaine_1[[#This Row],[Date]],"MMMM")</f>
        <v>avril</v>
      </c>
    </row>
    <row r="31" spans="1:16" ht="28.15" x14ac:dyDescent="0.45">
      <c r="A31" s="8">
        <v>46142</v>
      </c>
      <c r="B31" s="9" t="s">
        <v>78</v>
      </c>
      <c r="C31" s="9" t="s">
        <v>68</v>
      </c>
      <c r="D31" s="9" t="s">
        <v>60</v>
      </c>
      <c r="E31" s="9" t="s">
        <v>61</v>
      </c>
      <c r="F31" s="10">
        <v>784785900</v>
      </c>
      <c r="G31" s="9" t="s">
        <v>15</v>
      </c>
      <c r="H31" s="9" t="s">
        <v>13</v>
      </c>
      <c r="I31" s="9" t="s">
        <v>16</v>
      </c>
      <c r="J31" s="9" t="s">
        <v>20</v>
      </c>
      <c r="K31" s="9" t="s">
        <v>67</v>
      </c>
      <c r="L31" s="9">
        <v>15</v>
      </c>
      <c r="M31" s="11">
        <v>54000</v>
      </c>
      <c r="N31" s="11">
        <v>810000</v>
      </c>
      <c r="O31" s="12" t="str">
        <f>"S"&amp;_xlfn.ISOWEEKNUM(Semaine_1[[#This Row],[Date]])</f>
        <v>S18</v>
      </c>
      <c r="P31" s="13" t="str">
        <f>TEXT(Semaine_1[[#This Row],[Date]],"MMMM")</f>
        <v>avril</v>
      </c>
    </row>
    <row r="32" spans="1:16" ht="28.15" x14ac:dyDescent="0.45">
      <c r="A32" s="8">
        <v>46142</v>
      </c>
      <c r="B32" s="9" t="s">
        <v>74</v>
      </c>
      <c r="C32" s="9" t="s">
        <v>23</v>
      </c>
      <c r="D32" s="9" t="s">
        <v>41</v>
      </c>
      <c r="E32" s="9" t="s">
        <v>87</v>
      </c>
      <c r="F32" s="10">
        <v>779724512</v>
      </c>
      <c r="G32" s="9" t="s">
        <v>24</v>
      </c>
      <c r="H32" s="9" t="s">
        <v>13</v>
      </c>
      <c r="I32" s="9" t="s">
        <v>16</v>
      </c>
      <c r="J32" s="9" t="s">
        <v>45</v>
      </c>
      <c r="K32" s="9" t="s">
        <v>64</v>
      </c>
      <c r="L32" s="9">
        <v>25</v>
      </c>
      <c r="M32" s="11">
        <v>9000</v>
      </c>
      <c r="N32" s="11">
        <v>225000</v>
      </c>
      <c r="O32" s="12" t="str">
        <f>"S"&amp;_xlfn.ISOWEEKNUM(Semaine_1[[#This Row],[Date]])</f>
        <v>S18</v>
      </c>
      <c r="P32" s="13" t="str">
        <f>TEXT(Semaine_1[[#This Row],[Date]],"MMMM")</f>
        <v>avril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2026-05-03T19:10:24Z</dcterms:modified>
</cp:coreProperties>
</file>