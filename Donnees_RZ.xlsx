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6EFE7227-84C2-430B-B762-427BD064DD90}" xr6:coauthVersionLast="47" xr6:coauthVersionMax="47" xr10:uidLastSave="{00000000-0000-0000-0000-000000000000}"/>
  <bookViews>
    <workbookView xWindow="0" yWindow="0" windowWidth="19200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" l="1"/>
  <c r="P15" i="2"/>
  <c r="O11" i="2"/>
  <c r="O12" i="2"/>
  <c r="O13" i="2"/>
  <c r="O14" i="2"/>
  <c r="P11" i="2"/>
  <c r="P12" i="2"/>
  <c r="P13" i="2"/>
  <c r="P14" i="2"/>
  <c r="O10" i="2"/>
  <c r="P10" i="2"/>
  <c r="O9" i="2"/>
  <c r="P9" i="2"/>
  <c r="O8" i="2"/>
  <c r="P8" i="2"/>
  <c r="O7" i="2"/>
  <c r="P7" i="2"/>
  <c r="O6" i="2"/>
  <c r="P6" i="2"/>
  <c r="O4" i="2"/>
  <c r="O5" i="2"/>
  <c r="P4" i="2"/>
  <c r="P5" i="2"/>
  <c r="O2" i="2"/>
  <c r="O3" i="2"/>
  <c r="P2" i="2"/>
  <c r="P3" i="2"/>
</calcChain>
</file>

<file path=xl/sharedStrings.xml><?xml version="1.0" encoding="utf-8"?>
<sst xmlns="http://schemas.openxmlformats.org/spreadsheetml/2006/main" count="142" uniqueCount="59">
  <si>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</si>
  <si>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</si>
  <si>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</si>
  <si>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</si>
  <si>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</si>
  <si>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</si>
  <si>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</si>
  <si>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</si>
  <si>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</si>
  <si>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</si>
  <si>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</si>
  <si>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</si>
  <si>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</si>
  <si>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</si>
  <si>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</si>
  <si>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</si>
  <si>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</si>
  <si>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</si>
  <si>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</si>
  <si>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</si>
  <si>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</si>
  <si>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</si>
  <si>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</si>
  <si>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</si>
  <si>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</si>
  <si>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</si>
  <si>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</si>
  <si>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</si>
  <si>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</si>
  <si>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</si>
  <si>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</si>
  <si>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Commande livre Aujourd'hui</t>
  </si>
  <si>
    <t>Lait Janus 18gx100</t>
  </si>
  <si>
    <t>Commande reçue</t>
  </si>
  <si>
    <t>DKR Plateau</t>
  </si>
  <si>
    <t>Café pot Refraish 50g</t>
  </si>
  <si>
    <t>Chocolat transparent 200gx24pcs</t>
  </si>
  <si>
    <t>Chocolat jaune 200g x 24 pcs</t>
  </si>
  <si>
    <t>Chocolat jaune 400g x 12 pcs</t>
  </si>
  <si>
    <t>Seynabou SOW</t>
  </si>
  <si>
    <t>CASTOR</t>
  </si>
  <si>
    <t>Castor</t>
  </si>
  <si>
    <t>Ben Tally</t>
  </si>
  <si>
    <t xml:space="preserve">Merci beaucoup </t>
  </si>
  <si>
    <t>Merci beaucoup</t>
  </si>
  <si>
    <t>Café Altimo pot 100g x 24 pcs</t>
  </si>
  <si>
    <t>Café Altimo pot 200g x 12 pcs</t>
  </si>
  <si>
    <t>Mbacké</t>
  </si>
  <si>
    <t>Yeumbeul Mbéde Sass</t>
  </si>
  <si>
    <t>Rufisque</t>
  </si>
  <si>
    <t>Supermarché le cayor</t>
  </si>
  <si>
    <t>Serigne Saliou Gaye</t>
  </si>
  <si>
    <t>Mouhamed Diallo</t>
  </si>
  <si>
    <t>El Hadji Diallo</t>
  </si>
  <si>
    <t>Ameth</t>
  </si>
  <si>
    <t>MAMDOU DIA</t>
  </si>
  <si>
    <t>Ibrahima Diallo</t>
  </si>
  <si>
    <t>Oumar Diallo</t>
  </si>
  <si>
    <t>Jus 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</si>
</sst>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5" totalsRowShown="0" headerRowDxfId="18" headerRowBorderDxfId="16" tableBorderDxfId="17">
  <autoFilter ref="A1:P15" xr:uid="{FC757211-1341-459A-BE29-FAC5D7146FA5}"/>
  <tableColumns count="16">
    <tableColumn id="1" xr3:uid="{F85C405C-E78B-4DA6-8568-08107D7551E4}" name="Date" dataDxfId="3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2"/>
    <tableColumn id="13" xr3:uid="{9BC88C3B-EEBD-4156-81CB-075746F3F057}" name="Produit" dataDxfId="6"/>
    <tableColumn id="14" xr3:uid="{8DD706C4-BCF7-47C0-9913-F482F7A2F321}" name="Quantites" dataDxfId="5"/>
    <tableColumn id="15" xr3:uid="{D96EE09E-B22B-4D75-AABE-AEBF7CE286A6}" name="Prix_Unitaire" dataDxfId="1"/>
    <tableColumn id="16" xr3:uid="{B1727D51-96B6-4015-83C5-EBCAD96E9834}" name="Prix Total" dataDxfId="0"/>
    <tableColumn id="17" xr3:uid="{9A2C6D78-CE06-4E13-B8E1-0CB92B201156}" name="Semaine" dataDxfId="15">
      <calculatedColumnFormula>"S"&amp;_xlfn.ISOWEEKNUM(Semaine_1[[#This Row],[Date]])</calculatedColumnFormula>
    </tableColumn>
    <tableColumn id="18" xr3:uid="{83F3E9A5-7911-47C6-B543-07173CE7D4B5}" name="Mois" dataDxfId="4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5"/>
  <sheetViews>
    <sheetView tabSelected="1" zoomScale="79" zoomScaleNormal="79" workbookViewId="0">
      <selection activeCell="E6" sqref="E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21</v>
      </c>
      <c r="O1" s="6" t="s">
        <v>23</v>
      </c>
      <c r="P1" s="1" t="s">
        <v>22</v>
      </c>
    </row>
    <row r="2" spans="1:16" x14ac:dyDescent="0.45">
      <c r="A2" s="8">
        <v>45966</v>
      </c>
      <c r="B2" s="9" t="s">
        <v>25</v>
      </c>
      <c r="C2" s="9" t="s">
        <v>26</v>
      </c>
      <c r="D2" s="9" t="s">
        <v>49</v>
      </c>
      <c r="E2" s="9" t="s">
        <v>51</v>
      </c>
      <c r="F2" s="9">
        <v>781310969</v>
      </c>
      <c r="G2" s="9" t="s">
        <v>16</v>
      </c>
      <c r="H2" s="9" t="s">
        <v>13</v>
      </c>
      <c r="I2" s="9" t="s">
        <v>17</v>
      </c>
      <c r="J2" s="10" t="s">
        <v>27</v>
      </c>
      <c r="K2" s="9" t="s">
        <v>20</v>
      </c>
      <c r="L2" s="9">
        <v>25</v>
      </c>
      <c r="M2" s="11">
        <v>26000</v>
      </c>
      <c r="N2" s="11">
        <v>650000</v>
      </c>
      <c r="O2" s="12" t="str">
        <f>"S"&amp;_xlfn.ISOWEEKNUM(Semaine_1[[#This Row],[Date]])</f>
        <v>S45</v>
      </c>
      <c r="P2" s="13" t="str">
        <f>TEXT(Semaine_1[[#This Row],[Date]],"MMMM")</f>
        <v>novembre</v>
      </c>
    </row>
    <row r="3" spans="1:16" x14ac:dyDescent="0.45">
      <c r="A3" s="8">
        <v>45966</v>
      </c>
      <c r="B3" s="9" t="s">
        <v>25</v>
      </c>
      <c r="C3" s="9" t="s">
        <v>26</v>
      </c>
      <c r="D3" s="9" t="s">
        <v>49</v>
      </c>
      <c r="E3" s="9" t="s">
        <v>52</v>
      </c>
      <c r="F3" s="9">
        <v>774624747</v>
      </c>
      <c r="G3" s="9" t="s">
        <v>16</v>
      </c>
      <c r="H3" s="9" t="s">
        <v>13</v>
      </c>
      <c r="I3" s="9" t="s">
        <v>17</v>
      </c>
      <c r="J3" s="10" t="s">
        <v>27</v>
      </c>
      <c r="K3" s="9" t="s">
        <v>20</v>
      </c>
      <c r="L3" s="9">
        <v>25</v>
      </c>
      <c r="M3" s="11">
        <v>26000</v>
      </c>
      <c r="N3" s="11">
        <v>650000</v>
      </c>
      <c r="O3" s="12" t="str">
        <f>"S"&amp;_xlfn.ISOWEEKNUM(Semaine_1[[#This Row],[Date]])</f>
        <v>S45</v>
      </c>
      <c r="P3" s="13" t="str">
        <f>TEXT(Semaine_1[[#This Row],[Date]],"MMMM")</f>
        <v>novembre</v>
      </c>
    </row>
    <row r="4" spans="1:16" x14ac:dyDescent="0.45">
      <c r="A4" s="8">
        <v>45966</v>
      </c>
      <c r="B4" s="9" t="s">
        <v>39</v>
      </c>
      <c r="C4" s="9" t="s">
        <v>40</v>
      </c>
      <c r="D4" s="9" t="s">
        <v>42</v>
      </c>
      <c r="E4" s="9" t="s">
        <v>53</v>
      </c>
      <c r="F4" s="9">
        <v>785943768</v>
      </c>
      <c r="G4" s="9" t="s">
        <v>16</v>
      </c>
      <c r="H4" s="9" t="s">
        <v>13</v>
      </c>
      <c r="I4" s="9" t="s">
        <v>17</v>
      </c>
      <c r="J4" s="10" t="s">
        <v>44</v>
      </c>
      <c r="K4" s="9" t="s">
        <v>35</v>
      </c>
      <c r="L4" s="9">
        <v>2</v>
      </c>
      <c r="M4" s="11">
        <v>9750</v>
      </c>
      <c r="N4" s="11">
        <v>19500</v>
      </c>
      <c r="O4" s="12" t="str">
        <f>"S"&amp;_xlfn.ISOWEEKNUM(Semaine_1[[#This Row],[Date]])</f>
        <v>S45</v>
      </c>
      <c r="P4" s="13" t="str">
        <f>TEXT(Semaine_1[[#This Row],[Date]],"MMMM")</f>
        <v>novembre</v>
      </c>
    </row>
    <row r="5" spans="1:16" x14ac:dyDescent="0.45">
      <c r="A5" s="8">
        <v>45966</v>
      </c>
      <c r="B5" s="9" t="s">
        <v>39</v>
      </c>
      <c r="C5" s="9" t="s">
        <v>40</v>
      </c>
      <c r="D5" s="9" t="s">
        <v>41</v>
      </c>
      <c r="E5" s="9" t="s">
        <v>50</v>
      </c>
      <c r="F5" s="9">
        <v>776367168</v>
      </c>
      <c r="G5" s="9" t="s">
        <v>16</v>
      </c>
      <c r="H5" s="9" t="s">
        <v>13</v>
      </c>
      <c r="I5" s="9" t="s">
        <v>17</v>
      </c>
      <c r="J5" s="10" t="s">
        <v>43</v>
      </c>
      <c r="K5" s="9" t="s">
        <v>20</v>
      </c>
      <c r="L5" s="9">
        <v>25</v>
      </c>
      <c r="M5" s="11">
        <v>26000</v>
      </c>
      <c r="N5" s="11">
        <v>650000</v>
      </c>
      <c r="O5" s="12" t="str">
        <f>"S"&amp;_xlfn.ISOWEEKNUM(Semaine_1[[#This Row],[Date]])</f>
        <v>S45</v>
      </c>
      <c r="P5" s="13" t="str">
        <f>TEXT(Semaine_1[[#This Row],[Date]],"MMMM")</f>
        <v>novembre</v>
      </c>
    </row>
    <row r="6" spans="1:16" x14ac:dyDescent="0.45">
      <c r="A6" s="8">
        <v>45966</v>
      </c>
      <c r="B6" s="9" t="s">
        <v>14</v>
      </c>
      <c r="C6" s="9" t="s">
        <v>15</v>
      </c>
      <c r="D6" s="9" t="s">
        <v>34</v>
      </c>
      <c r="E6" s="9" t="s">
        <v>54</v>
      </c>
      <c r="F6" s="9">
        <v>775602981</v>
      </c>
      <c r="G6" s="9" t="s">
        <v>16</v>
      </c>
      <c r="H6" s="9" t="s">
        <v>13</v>
      </c>
      <c r="I6" s="9" t="s">
        <v>17</v>
      </c>
      <c r="J6" s="10" t="s">
        <v>17</v>
      </c>
      <c r="K6" s="9" t="s">
        <v>32</v>
      </c>
      <c r="L6" s="9">
        <v>25</v>
      </c>
      <c r="M6" s="11">
        <v>6000</v>
      </c>
      <c r="N6" s="11">
        <v>150000</v>
      </c>
      <c r="O6" s="12" t="str">
        <f>"S"&amp;_xlfn.ISOWEEKNUM(Semaine_1[[#This Row],[Date]])</f>
        <v>S45</v>
      </c>
      <c r="P6" s="13" t="str">
        <f>TEXT(Semaine_1[[#This Row],[Date]],"MMMM")</f>
        <v>novembre</v>
      </c>
    </row>
    <row r="7" spans="1:16" x14ac:dyDescent="0.45">
      <c r="A7" s="8">
        <v>45966</v>
      </c>
      <c r="B7" s="9" t="s">
        <v>14</v>
      </c>
      <c r="C7" s="9" t="s">
        <v>15</v>
      </c>
      <c r="D7" s="9" t="s">
        <v>34</v>
      </c>
      <c r="E7" s="9" t="s">
        <v>54</v>
      </c>
      <c r="F7" s="9">
        <v>775602981</v>
      </c>
      <c r="G7" s="9" t="s">
        <v>16</v>
      </c>
      <c r="H7" s="9" t="s">
        <v>13</v>
      </c>
      <c r="I7" s="9" t="s">
        <v>17</v>
      </c>
      <c r="J7" s="10" t="s">
        <v>17</v>
      </c>
      <c r="K7" s="9" t="s">
        <v>38</v>
      </c>
      <c r="L7" s="9">
        <v>1</v>
      </c>
      <c r="M7" s="11">
        <v>15500</v>
      </c>
      <c r="N7" s="11">
        <v>15500</v>
      </c>
      <c r="O7" s="12" t="str">
        <f>"S"&amp;_xlfn.ISOWEEKNUM(Semaine_1[[#This Row],[Date]])</f>
        <v>S45</v>
      </c>
      <c r="P7" s="13" t="str">
        <f>TEXT(Semaine_1[[#This Row],[Date]],"MMMM")</f>
        <v>novembre</v>
      </c>
    </row>
    <row r="8" spans="1:16" x14ac:dyDescent="0.45">
      <c r="A8" s="8">
        <v>45966</v>
      </c>
      <c r="B8" s="9" t="s">
        <v>18</v>
      </c>
      <c r="C8" s="9" t="s">
        <v>19</v>
      </c>
      <c r="D8" s="9" t="s">
        <v>48</v>
      </c>
      <c r="E8" s="9" t="s">
        <v>55</v>
      </c>
      <c r="F8" s="9">
        <v>768059355</v>
      </c>
      <c r="G8" s="9" t="s">
        <v>16</v>
      </c>
      <c r="H8" s="9" t="s">
        <v>13</v>
      </c>
      <c r="I8" s="9" t="s">
        <v>17</v>
      </c>
      <c r="J8" s="10" t="s">
        <v>24</v>
      </c>
      <c r="K8" s="9" t="s">
        <v>46</v>
      </c>
      <c r="L8" s="9">
        <v>50</v>
      </c>
      <c r="M8" s="11">
        <v>33500</v>
      </c>
      <c r="N8" s="11">
        <v>1675000</v>
      </c>
      <c r="O8" s="12" t="str">
        <f>"S"&amp;_xlfn.ISOWEEKNUM(Semaine_1[[#This Row],[Date]])</f>
        <v>S45</v>
      </c>
      <c r="P8" s="13" t="str">
        <f>TEXT(Semaine_1[[#This Row],[Date]],"MMMM")</f>
        <v>novembre</v>
      </c>
    </row>
    <row r="9" spans="1:16" x14ac:dyDescent="0.45">
      <c r="A9" s="8">
        <v>45965</v>
      </c>
      <c r="B9" s="9" t="s">
        <v>28</v>
      </c>
      <c r="C9" s="9" t="s">
        <v>29</v>
      </c>
      <c r="D9" s="9" t="s">
        <v>30</v>
      </c>
      <c r="E9" s="9" t="s">
        <v>56</v>
      </c>
      <c r="F9" s="9">
        <v>783795076</v>
      </c>
      <c r="G9" s="9" t="s">
        <v>16</v>
      </c>
      <c r="H9" s="9" t="s">
        <v>13</v>
      </c>
      <c r="I9" s="9" t="s">
        <v>17</v>
      </c>
      <c r="J9" s="10" t="s">
        <v>31</v>
      </c>
      <c r="K9" s="9" t="s">
        <v>20</v>
      </c>
      <c r="L9" s="9">
        <v>25</v>
      </c>
      <c r="M9" s="11">
        <v>26000</v>
      </c>
      <c r="N9" s="11">
        <v>650000</v>
      </c>
      <c r="O9" s="12" t="str">
        <f>"S"&amp;_xlfn.ISOWEEKNUM(Semaine_1[[#This Row],[Date]])</f>
        <v>S45</v>
      </c>
      <c r="P9" s="13" t="str">
        <f>TEXT(Semaine_1[[#This Row],[Date]],"MMMM")</f>
        <v>novembre</v>
      </c>
    </row>
    <row r="10" spans="1:16" x14ac:dyDescent="0.45">
      <c r="A10" s="8">
        <v>45965</v>
      </c>
      <c r="B10" s="9" t="s">
        <v>28</v>
      </c>
      <c r="C10" s="9" t="s">
        <v>29</v>
      </c>
      <c r="D10" s="9" t="s">
        <v>30</v>
      </c>
      <c r="E10" s="9" t="s">
        <v>57</v>
      </c>
      <c r="F10" s="9">
        <v>779071660</v>
      </c>
      <c r="G10" s="9" t="s">
        <v>16</v>
      </c>
      <c r="H10" s="9" t="s">
        <v>13</v>
      </c>
      <c r="I10" s="9" t="s">
        <v>17</v>
      </c>
      <c r="J10" s="10" t="s">
        <v>31</v>
      </c>
      <c r="K10" s="9" t="s">
        <v>20</v>
      </c>
      <c r="L10" s="9">
        <v>25</v>
      </c>
      <c r="M10" s="11">
        <v>26000</v>
      </c>
      <c r="N10" s="11">
        <v>650000</v>
      </c>
      <c r="O10" s="12" t="str">
        <f>"S"&amp;_xlfn.ISOWEEKNUM(Semaine_1[[#This Row],[Date]])</f>
        <v>S45</v>
      </c>
      <c r="P10" s="13" t="str">
        <f>TEXT(Semaine_1[[#This Row],[Date]],"MMMM")</f>
        <v>novembre</v>
      </c>
    </row>
    <row r="11" spans="1:16" x14ac:dyDescent="0.45">
      <c r="A11" s="8">
        <v>45965</v>
      </c>
      <c r="B11" s="9" t="s">
        <v>14</v>
      </c>
      <c r="C11" s="9" t="s">
        <v>15</v>
      </c>
      <c r="D11" s="9" t="s">
        <v>34</v>
      </c>
      <c r="E11" s="9" t="s">
        <v>47</v>
      </c>
      <c r="F11" s="9">
        <v>779486095</v>
      </c>
      <c r="G11" s="9" t="s">
        <v>16</v>
      </c>
      <c r="H11" s="9" t="s">
        <v>13</v>
      </c>
      <c r="I11" s="9" t="s">
        <v>17</v>
      </c>
      <c r="J11" s="10" t="s">
        <v>33</v>
      </c>
      <c r="K11" s="9" t="s">
        <v>36</v>
      </c>
      <c r="L11" s="9">
        <v>25</v>
      </c>
      <c r="M11" s="11">
        <v>12500</v>
      </c>
      <c r="N11" s="11">
        <v>312500</v>
      </c>
      <c r="O11" s="12" t="str">
        <f>"S"&amp;_xlfn.ISOWEEKNUM(Semaine_1[[#This Row],[Date]])</f>
        <v>S45</v>
      </c>
      <c r="P11" s="13" t="str">
        <f>TEXT(Semaine_1[[#This Row],[Date]],"MMMM")</f>
        <v>novembre</v>
      </c>
    </row>
    <row r="12" spans="1:16" x14ac:dyDescent="0.45">
      <c r="A12" s="8">
        <v>45965</v>
      </c>
      <c r="B12" s="9" t="s">
        <v>14</v>
      </c>
      <c r="C12" s="9" t="s">
        <v>15</v>
      </c>
      <c r="D12" s="9" t="s">
        <v>34</v>
      </c>
      <c r="E12" s="9" t="s">
        <v>47</v>
      </c>
      <c r="F12" s="9">
        <v>779486095</v>
      </c>
      <c r="G12" s="9" t="s">
        <v>16</v>
      </c>
      <c r="H12" s="9" t="s">
        <v>13</v>
      </c>
      <c r="I12" s="9" t="s">
        <v>17</v>
      </c>
      <c r="J12" s="10" t="s">
        <v>33</v>
      </c>
      <c r="K12" s="9" t="s">
        <v>46</v>
      </c>
      <c r="L12" s="9">
        <v>2</v>
      </c>
      <c r="M12" s="11">
        <v>33500</v>
      </c>
      <c r="N12" s="11">
        <v>67000</v>
      </c>
      <c r="O12" s="12" t="str">
        <f>"S"&amp;_xlfn.ISOWEEKNUM(Semaine_1[[#This Row],[Date]])</f>
        <v>S45</v>
      </c>
      <c r="P12" s="13" t="str">
        <f>TEXT(Semaine_1[[#This Row],[Date]],"MMMM")</f>
        <v>novembre</v>
      </c>
    </row>
    <row r="13" spans="1:16" x14ac:dyDescent="0.45">
      <c r="A13" s="8">
        <v>45965</v>
      </c>
      <c r="B13" s="9" t="s">
        <v>14</v>
      </c>
      <c r="C13" s="9" t="s">
        <v>15</v>
      </c>
      <c r="D13" s="9" t="s">
        <v>34</v>
      </c>
      <c r="E13" s="9" t="s">
        <v>47</v>
      </c>
      <c r="F13" s="9">
        <v>779486095</v>
      </c>
      <c r="G13" s="9" t="s">
        <v>16</v>
      </c>
      <c r="H13" s="9" t="s">
        <v>13</v>
      </c>
      <c r="I13" s="9" t="s">
        <v>17</v>
      </c>
      <c r="J13" s="10" t="s">
        <v>33</v>
      </c>
      <c r="K13" s="9" t="s">
        <v>37</v>
      </c>
      <c r="L13" s="9">
        <v>4</v>
      </c>
      <c r="M13" s="11">
        <v>15500</v>
      </c>
      <c r="N13" s="11">
        <v>62000</v>
      </c>
      <c r="O13" s="12" t="str">
        <f>"S"&amp;_xlfn.ISOWEEKNUM(Semaine_1[[#This Row],[Date]])</f>
        <v>S45</v>
      </c>
      <c r="P13" s="13" t="str">
        <f>TEXT(Semaine_1[[#This Row],[Date]],"MMMM")</f>
        <v>novembre</v>
      </c>
    </row>
    <row r="14" spans="1:16" x14ac:dyDescent="0.45">
      <c r="A14" s="8">
        <v>45965</v>
      </c>
      <c r="B14" s="9" t="s">
        <v>14</v>
      </c>
      <c r="C14" s="9" t="s">
        <v>15</v>
      </c>
      <c r="D14" s="9" t="s">
        <v>34</v>
      </c>
      <c r="E14" s="9" t="s">
        <v>47</v>
      </c>
      <c r="F14" s="9">
        <v>779486095</v>
      </c>
      <c r="G14" s="9" t="s">
        <v>16</v>
      </c>
      <c r="H14" s="9" t="s">
        <v>13</v>
      </c>
      <c r="I14" s="9" t="s">
        <v>17</v>
      </c>
      <c r="J14" s="10" t="s">
        <v>33</v>
      </c>
      <c r="K14" s="9" t="s">
        <v>58</v>
      </c>
      <c r="L14" s="9">
        <v>2</v>
      </c>
      <c r="M14" s="11">
        <v>12000</v>
      </c>
      <c r="N14" s="11">
        <v>24000</v>
      </c>
      <c r="O14" s="12" t="str">
        <f>"S"&amp;_xlfn.ISOWEEKNUM(Semaine_1[[#This Row],[Date]])</f>
        <v>S45</v>
      </c>
      <c r="P14" s="13" t="str">
        <f>TEXT(Semaine_1[[#This Row],[Date]],"MMMM")</f>
        <v>novembre</v>
      </c>
    </row>
    <row r="15" spans="1:16" x14ac:dyDescent="0.45">
      <c r="A15" s="8">
        <v>45965</v>
      </c>
      <c r="B15" s="9" t="s">
        <v>14</v>
      </c>
      <c r="C15" s="9" t="s">
        <v>15</v>
      </c>
      <c r="D15" s="9" t="s">
        <v>34</v>
      </c>
      <c r="E15" s="9" t="s">
        <v>47</v>
      </c>
      <c r="F15" s="9">
        <v>779486095</v>
      </c>
      <c r="G15" s="9" t="s">
        <v>16</v>
      </c>
      <c r="H15" s="9" t="s">
        <v>13</v>
      </c>
      <c r="I15" s="9" t="s">
        <v>17</v>
      </c>
      <c r="J15" s="10" t="s">
        <v>33</v>
      </c>
      <c r="K15" s="9" t="s">
        <v>45</v>
      </c>
      <c r="L15" s="9">
        <v>2</v>
      </c>
      <c r="M15" s="11">
        <v>33500</v>
      </c>
      <c r="N15" s="11">
        <v>67000</v>
      </c>
      <c r="O15" s="12" t="str">
        <f>"S"&amp;_xlfn.ISOWEEKNUM(Semaine_1[[#This Row],[Date]])</f>
        <v>S45</v>
      </c>
      <c r="P15" s="13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2025-11-06T11:44:42Z</dcterms:modified>
</cp:coreProperties>
</file>