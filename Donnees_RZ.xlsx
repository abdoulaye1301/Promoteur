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522E29B6-FCCD-4E9F-BF98-8C76FFF8139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4" i="2" l="1"/>
  <c r="P124" i="2"/>
  <c r="O122" i="2"/>
  <c r="O123" i="2"/>
  <c r="P122" i="2"/>
  <c r="P123" i="2"/>
  <c r="O119" i="2"/>
  <c r="O120" i="2"/>
  <c r="O121" i="2"/>
  <c r="P119" i="2"/>
  <c r="P120" i="2"/>
  <c r="P121" i="2"/>
  <c r="O114" i="2"/>
  <c r="O115" i="2"/>
  <c r="O116" i="2"/>
  <c r="O117" i="2"/>
  <c r="O118" i="2"/>
  <c r="P114" i="2"/>
  <c r="P115" i="2"/>
  <c r="P116" i="2"/>
  <c r="P117" i="2"/>
  <c r="P118" i="2"/>
  <c r="O113" i="2"/>
  <c r="P113" i="2"/>
  <c r="O110" i="2"/>
  <c r="O111" i="2"/>
  <c r="O112" i="2"/>
  <c r="P110" i="2"/>
  <c r="P111" i="2"/>
  <c r="P112" i="2"/>
  <c r="O108" i="2"/>
  <c r="O109" i="2"/>
  <c r="P108" i="2"/>
  <c r="P109" i="2"/>
  <c r="O107" i="2"/>
  <c r="P107" i="2"/>
  <c r="O106" i="2"/>
  <c r="P106" i="2"/>
  <c r="O105" i="2"/>
  <c r="P105" i="2"/>
  <c r="O103" i="2"/>
  <c r="O104" i="2"/>
  <c r="P103" i="2"/>
  <c r="P104" i="2"/>
  <c r="O101" i="2"/>
  <c r="O102" i="2"/>
  <c r="P101" i="2"/>
  <c r="P102" i="2"/>
  <c r="O95" i="2"/>
  <c r="O96" i="2"/>
  <c r="O97" i="2"/>
  <c r="O98" i="2"/>
  <c r="O99" i="2"/>
  <c r="O100" i="2"/>
  <c r="P95" i="2"/>
  <c r="P96" i="2"/>
  <c r="P97" i="2"/>
  <c r="P98" i="2"/>
  <c r="P99" i="2"/>
  <c r="P100" i="2"/>
  <c r="O92" i="2"/>
  <c r="O93" i="2"/>
  <c r="O94" i="2"/>
  <c r="P92" i="2"/>
  <c r="P93" i="2"/>
  <c r="P94" i="2"/>
  <c r="O91" i="2"/>
  <c r="P91" i="2"/>
  <c r="O90" i="2"/>
  <c r="P90" i="2"/>
  <c r="O89" i="2"/>
  <c r="P89" i="2"/>
  <c r="O86" i="2"/>
  <c r="O87" i="2"/>
  <c r="O88" i="2"/>
  <c r="P86" i="2"/>
  <c r="P87" i="2"/>
  <c r="P88" i="2"/>
  <c r="O83" i="2"/>
  <c r="O84" i="2"/>
  <c r="O85" i="2"/>
  <c r="P83" i="2"/>
  <c r="P84" i="2"/>
  <c r="P85" i="2"/>
  <c r="O82" i="2"/>
  <c r="P82" i="2"/>
  <c r="O79" i="2"/>
  <c r="O80" i="2"/>
  <c r="O81" i="2"/>
  <c r="P79" i="2"/>
  <c r="P80" i="2"/>
  <c r="P81" i="2"/>
  <c r="O78" i="2"/>
  <c r="P78" i="2"/>
  <c r="O77" i="2"/>
  <c r="P77" i="2"/>
  <c r="O75" i="2"/>
  <c r="O76" i="2"/>
  <c r="P75" i="2"/>
  <c r="P76" i="2"/>
  <c r="O74" i="2"/>
  <c r="P74" i="2"/>
  <c r="O71" i="2"/>
  <c r="O72" i="2"/>
  <c r="O73" i="2"/>
  <c r="P71" i="2"/>
  <c r="P72" i="2"/>
  <c r="P73" i="2"/>
  <c r="O67" i="2"/>
  <c r="O68" i="2"/>
  <c r="O69" i="2"/>
  <c r="O70" i="2"/>
  <c r="P67" i="2"/>
  <c r="P68" i="2"/>
  <c r="P69" i="2"/>
  <c r="P70" i="2"/>
  <c r="O62" i="2"/>
  <c r="O63" i="2"/>
  <c r="O64" i="2"/>
  <c r="O65" i="2"/>
  <c r="O66" i="2"/>
  <c r="P62" i="2"/>
  <c r="P63" i="2"/>
  <c r="P64" i="2"/>
  <c r="P65" i="2"/>
  <c r="P66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0" i="2"/>
  <c r="O51" i="2"/>
  <c r="O52" i="2"/>
  <c r="O53" i="2"/>
  <c r="P50" i="2"/>
  <c r="P51" i="2"/>
  <c r="P52" i="2"/>
  <c r="P53" i="2"/>
  <c r="O49" i="2"/>
  <c r="P49" i="2"/>
  <c r="O46" i="2"/>
  <c r="O47" i="2"/>
  <c r="O48" i="2"/>
  <c r="P46" i="2"/>
  <c r="P47" i="2"/>
  <c r="P48" i="2"/>
  <c r="O45" i="2"/>
  <c r="P45" i="2"/>
  <c r="O44" i="2"/>
  <c r="P44" i="2"/>
  <c r="O40" i="2"/>
  <c r="O41" i="2"/>
  <c r="O42" i="2"/>
  <c r="O43" i="2"/>
  <c r="P40" i="2"/>
  <c r="P41" i="2"/>
  <c r="P42" i="2"/>
  <c r="P43" i="2"/>
  <c r="O39" i="2"/>
  <c r="P39" i="2"/>
  <c r="O37" i="2"/>
  <c r="O38" i="2"/>
  <c r="P37" i="2"/>
  <c r="P38" i="2"/>
  <c r="O33" i="2"/>
  <c r="O34" i="2"/>
  <c r="O35" i="2"/>
  <c r="O36" i="2"/>
  <c r="P33" i="2"/>
  <c r="P34" i="2"/>
  <c r="P35" i="2"/>
  <c r="P36" i="2"/>
  <c r="O32" i="2"/>
  <c r="P32" i="2"/>
  <c r="O31" i="2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<sst xmlns="http://schemas.openxmlformats.org/spreadsheetml/2006/main" count="1122" uniqueCount="195">
  <si>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</si>
  <si>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</si>
  <si>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</si>
  <si>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</si>
  <si>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</si>
  <si>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</si>
  <si>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</si>
  <si>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</si>
  <si>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</si>
  <si>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</si>
  <si>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</si>
  <si>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</si>
  <si>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</si>
  <si>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</si>
  <si>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</si>
  <si>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</si>
  <si>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</si>
  <si>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</si>
  <si>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</si>
  <si>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</si>
  <si>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</si>
  <si>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</si>
  <si>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</si>
  <si>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</si>
  <si>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</si>
  <si>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</si>
  <si>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</si>
  <si>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</si>
  <si>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</si>
  <si>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</si>
  <si>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</si>
  <si>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</si>
  <si>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</si>
  <si>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</si>
  <si>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</si>
  <si>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</si>
  <si>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</si>
  <si>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</si>
  <si>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</si>
  <si>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</si>
  <si>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</si>
  <si>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</si>
  <si>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</si>
  <si>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</si>
  <si>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</si>
  <si>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</si>
  <si>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</si>
  <si>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</si>
  <si>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</si>
  <si>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</si>
  <si>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</si>
  <si>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</si>
  <si>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</si>
  <si>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</si>
  <si>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</si>
  <si>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</si>
  <si>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</si>
  <si>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</si>
  <si>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</si>
  <si>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</si>
  <si>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</si>
  <si>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</si>
  <si>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</si>
  <si>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</si>
  <si>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</si>
  <si>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</si>
  <si>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</si>
  <si>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</si>
  <si>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</si>
  <si>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</si>
  <si>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</si>
  <si>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</si>
  <si>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</si>
  <si>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</si>
  <si>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</si>
  <si>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</si>
  <si>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</si>
  <si>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</si>
  <si>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</si>
  <si>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</si>
  <si>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</si>
  <si>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</si>
  <si>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</si>
  <si>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</si>
  <si>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</si>
  <si>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</si>
  <si>
    <t>Grand Dakar</t>
  </si>
  <si>
    <t>Wane</t>
  </si>
  <si>
    <t>Mouhamed CISSE</t>
  </si>
  <si>
    <t>Il n'avait plus de stock</t>
  </si>
  <si>
    <t>Rufisque</t>
  </si>
  <si>
    <t>Bassirou FALL</t>
  </si>
  <si>
    <t>Souhaibou</t>
  </si>
  <si>
    <t xml:space="preserve">Il dit de repasser la semaine prochaine pour le lait évaporé </t>
  </si>
  <si>
    <t>MACTAR</t>
  </si>
  <si>
    <t>On lui a fait une remise de 14 Cartons (28000) reste à verser 672000f</t>
  </si>
  <si>
    <t>Pikine Sandika</t>
  </si>
  <si>
    <t>Galle GOLLE</t>
  </si>
  <si>
    <t>Marché Bou Bess</t>
  </si>
  <si>
    <t>ABLAYE DIALLO</t>
  </si>
  <si>
    <t>Sodidalo SARL</t>
  </si>
  <si>
    <t>Keur Massar Ainoumady</t>
  </si>
  <si>
    <t>Mouhamed Bâ</t>
  </si>
  <si>
    <t xml:space="preserve">Il veut essayer </t>
  </si>
  <si>
    <t>Adama Bâ</t>
  </si>
  <si>
    <t>Assane</t>
  </si>
  <si>
    <t>Thierno DIALLO</t>
  </si>
  <si>
    <t xml:space="preserve">Il avait essayer le lait mais il dit que ses clients ont apprécié le lait </t>
  </si>
  <si>
    <t>Ameth</t>
  </si>
  <si>
    <t>Mamodou DIALLO</t>
  </si>
  <si>
    <t xml:space="preserve">RAS livré depuis Mercredi </t>
  </si>
  <si>
    <t>Modou Ndiaye</t>
  </si>
  <si>
    <t xml:space="preserve">Il n'avait plus de stock </t>
  </si>
  <si>
    <t>Mohamed</t>
  </si>
  <si>
    <t>Mbao</t>
  </si>
  <si>
    <t>Abdou Leye</t>
  </si>
  <si>
    <t>Ibrahima Diallo</t>
  </si>
  <si>
    <t>Mamadou BA</t>
  </si>
  <si>
    <t>Il veut essayer le produit mais il veut 100 sac et demande s'il peut avoir une échéance de 10 jours</t>
  </si>
  <si>
    <t>Terminus 54</t>
  </si>
  <si>
    <t>BABACAR Cissé</t>
  </si>
  <si>
    <t>Béckaye</t>
  </si>
  <si>
    <t>Moustapha Baldé</t>
  </si>
  <si>
    <t>Alimentation</t>
  </si>
  <si>
    <t>RAS</t>
  </si>
  <si>
    <t>Kayar</t>
  </si>
  <si>
    <t>Babacar</t>
  </si>
  <si>
    <t>Ras</t>
  </si>
  <si>
    <t>Mohamed Ndiaye</t>
  </si>
  <si>
    <t>Gueye et frère</t>
  </si>
  <si>
    <t>Bayakh</t>
  </si>
  <si>
    <t>Bathie</t>
  </si>
  <si>
    <t>TAPAHA GAYE</t>
  </si>
  <si>
    <t>NAFAR BOUTIQUE</t>
  </si>
  <si>
    <t>MOUHAMED DAYEL</t>
  </si>
  <si>
    <t>BALDE</t>
  </si>
  <si>
    <t>Ben Tally</t>
  </si>
  <si>
    <t>El Hadji</t>
  </si>
  <si>
    <t>Lye</t>
  </si>
  <si>
    <t>Stapro.com SARL n1</t>
  </si>
  <si>
    <t>Il apprécie la promotion</t>
  </si>
  <si>
    <t>Sa reste le lait 25kg</t>
  </si>
  <si>
    <t>S.K.L</t>
  </si>
  <si>
    <t>Alpha ba</t>
  </si>
  <si>
    <t>Merci beaucoup</t>
  </si>
  <si>
    <t>Kamlac Junior mais cereal 50g x 10 x 8 sachet</t>
  </si>
  <si>
    <t>Sicap Mbao</t>
  </si>
  <si>
    <t>Madina</t>
  </si>
  <si>
    <t>DJIBRIL laye</t>
  </si>
  <si>
    <t xml:space="preserve">Livré hier soir </t>
  </si>
  <si>
    <t>Nd</t>
  </si>
  <si>
    <t>Khadim Lo</t>
  </si>
  <si>
    <t>Il a commencé à vendre le café royal raison pour laquelle il a diminué sa commande</t>
  </si>
  <si>
    <t>Asse</t>
  </si>
  <si>
    <t>Abdourahmane</t>
  </si>
  <si>
    <t>Sakina</t>
  </si>
  <si>
    <t xml:space="preserve">Client satisfait </t>
  </si>
  <si>
    <t>Zac Mbao</t>
  </si>
  <si>
    <t>Ibrahima Tahirou</t>
  </si>
  <si>
    <t>Keur Mbaye Fall</t>
  </si>
  <si>
    <t>Pape</t>
  </si>
  <si>
    <t>Abdou</t>
  </si>
  <si>
    <t>Keur Ndiaye LO</t>
  </si>
  <si>
    <t>Souleymane Diallo</t>
  </si>
  <si>
    <t>Moustapha DIOUF</t>
  </si>
  <si>
    <t>Tidiane Diallo</t>
  </si>
  <si>
    <t>Ndiol NDIAYE</t>
  </si>
  <si>
    <t>Grand Boutique</t>
  </si>
  <si>
    <t xml:space="preserve">Pour essayer </t>
  </si>
  <si>
    <t>Médina</t>
  </si>
  <si>
    <t>Diop et Frères</t>
  </si>
  <si>
    <t>Café Altimo pot 100g x 24 pcs</t>
  </si>
  <si>
    <t>Ouakam</t>
  </si>
  <si>
    <t>Ibrahima Sori Diallo</t>
  </si>
  <si>
    <t>Niang et frère</t>
  </si>
  <si>
    <t>Bala</t>
  </si>
  <si>
    <t>Moustapha Mbaye</t>
  </si>
  <si>
    <t>Grand Yoff</t>
  </si>
  <si>
    <t>Dame DIOP</t>
  </si>
  <si>
    <t>Alune Ndiaye</t>
  </si>
  <si>
    <t>Mouhamed KANTE</t>
  </si>
  <si>
    <t>Zone de captage</t>
  </si>
  <si>
    <t>Ousmane Dramé</t>
  </si>
  <si>
    <t>Raa</t>
  </si>
  <si>
    <t>Kolda</t>
  </si>
  <si>
    <t>Mansour</t>
  </si>
  <si>
    <t>Moustapha  seye</t>
  </si>
  <si>
    <t>Mor seye</t>
  </si>
  <si>
    <t>Mouhamed Diallo</t>
  </si>
  <si>
    <t>Il veut essayer le produit mais il demande de revoir le prix il dit que c'est cher</t>
  </si>
  <si>
    <t>KamLac Lait concentré sucré 24x1kg</t>
  </si>
  <si>
    <t>Abdou Diop</t>
  </si>
  <si>
    <t>Seye et Frère</t>
  </si>
  <si>
    <t>Il dit que le produit est cher c'est pourquoi il ne peut pas prendre en grande quantité</t>
  </si>
  <si>
    <t>Meadow Cup sac 25kg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</si>
</sst>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3" fillId="0" borderId="4" xfId="0" applyNumberFormat="1" applyFont="1" applyFill="1" applyBorder="1" applyAlignment="1">
      <alignment wrapText="1"/>
    </xf>
    <xf numFmtId="0" fontId="3" fillId="0" borderId="2" xfId="0" applyFont="1" applyFill="1" applyBorder="1" applyAlignment="1">
      <alignment wrapText="1"/>
    </xf>
    <xf numFmtId="49" fontId="3" fillId="0" borderId="2" xfId="0" applyNumberFormat="1" applyFont="1" applyFill="1" applyBorder="1" applyAlignment="1">
      <alignment wrapText="1"/>
    </xf>
    <xf numFmtId="3" fontId="3" fillId="0" borderId="2" xfId="0" applyNumberFormat="1" applyFont="1" applyFill="1" applyBorder="1" applyAlignment="1">
      <alignment wrapText="1"/>
    </xf>
    <xf numFmtId="3" fontId="3" fillId="0" borderId="3" xfId="0" applyNumberFormat="1" applyFont="1" applyFill="1" applyBorder="1" applyAlignment="1">
      <alignment wrapText="1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/>
    <xf numFmtId="49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24" totalsRowShown="0" headerRowDxfId="18" headerRowBorderDxfId="17" tableBorderDxfId="16">
  <autoFilter ref="A1:P12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24"/>
  <sheetViews>
    <sheetView tabSelected="1" topLeftCell="A64" zoomScale="79" zoomScaleNormal="79" workbookViewId="0">
      <selection activeCell="A83" sqref="A83:N12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  <row r="32" spans="1:16" ht="28.15" x14ac:dyDescent="0.45">
      <c r="A32" s="8">
        <v>46151</v>
      </c>
      <c r="B32" s="9" t="s">
        <v>70</v>
      </c>
      <c r="C32" s="9" t="s">
        <v>14</v>
      </c>
      <c r="D32" s="9" t="s">
        <v>86</v>
      </c>
      <c r="E32" s="9" t="s">
        <v>87</v>
      </c>
      <c r="F32" s="9">
        <v>775411988</v>
      </c>
      <c r="G32" s="9" t="s">
        <v>24</v>
      </c>
      <c r="H32" s="9" t="s">
        <v>13</v>
      </c>
      <c r="I32" s="9" t="s">
        <v>16</v>
      </c>
      <c r="J32" s="9" t="s">
        <v>38</v>
      </c>
      <c r="K32" s="9" t="s">
        <v>56</v>
      </c>
      <c r="L32" s="9">
        <v>6</v>
      </c>
      <c r="M32" s="11">
        <v>19500</v>
      </c>
      <c r="N32" s="11">
        <v>117000</v>
      </c>
      <c r="O32" s="7" t="str">
        <f>"S"&amp;_xlfn.ISOWEEKNUM(Semaine_1[[#This Row],[Date]])</f>
        <v>S19</v>
      </c>
      <c r="P32" t="str">
        <f>TEXT(Semaine_1[[#This Row],[Date]],"MMMM")</f>
        <v>mai</v>
      </c>
    </row>
    <row r="33" spans="1:16" x14ac:dyDescent="0.45">
      <c r="A33" s="8">
        <v>46150</v>
      </c>
      <c r="B33" s="9" t="s">
        <v>53</v>
      </c>
      <c r="C33" s="9" t="s">
        <v>39</v>
      </c>
      <c r="D33" s="9" t="s">
        <v>44</v>
      </c>
      <c r="E33" s="9" t="s">
        <v>88</v>
      </c>
      <c r="F33" s="9">
        <v>788217757</v>
      </c>
      <c r="G33" s="9" t="s">
        <v>15</v>
      </c>
      <c r="H33" s="9" t="s">
        <v>13</v>
      </c>
      <c r="I33" s="9" t="s">
        <v>16</v>
      </c>
      <c r="J33" s="9" t="s">
        <v>89</v>
      </c>
      <c r="K33" s="9" t="s">
        <v>30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S19</v>
      </c>
      <c r="P33" t="str">
        <f>TEXT(Semaine_1[[#This Row],[Date]],"MMMM")</f>
        <v>mai</v>
      </c>
    </row>
    <row r="34" spans="1:16" x14ac:dyDescent="0.45">
      <c r="A34" s="8">
        <v>46150</v>
      </c>
      <c r="B34" s="9" t="s">
        <v>53</v>
      </c>
      <c r="C34" s="9" t="s">
        <v>39</v>
      </c>
      <c r="D34" s="9" t="s">
        <v>90</v>
      </c>
      <c r="E34" s="9" t="s">
        <v>91</v>
      </c>
      <c r="F34" s="9">
        <v>773914377</v>
      </c>
      <c r="G34" s="9" t="s">
        <v>15</v>
      </c>
      <c r="H34" s="9" t="s">
        <v>52</v>
      </c>
      <c r="I34" s="9" t="s">
        <v>16</v>
      </c>
      <c r="J34" s="9" t="s">
        <v>89</v>
      </c>
      <c r="K34" s="9" t="s">
        <v>30</v>
      </c>
      <c r="L34" s="9">
        <v>25</v>
      </c>
      <c r="M34" s="11">
        <v>26000</v>
      </c>
      <c r="N34" s="11">
        <v>650000</v>
      </c>
      <c r="O34" s="7" t="str">
        <f>"S"&amp;_xlfn.ISOWEEKNUM(Semaine_1[[#This Row],[Date]])</f>
        <v>S19</v>
      </c>
      <c r="P34" t="str">
        <f>TEXT(Semaine_1[[#This Row],[Date]],"MMMM")</f>
        <v>mai</v>
      </c>
    </row>
    <row r="35" spans="1:16" ht="28.15" x14ac:dyDescent="0.45">
      <c r="A35" s="8">
        <v>46150</v>
      </c>
      <c r="B35" s="9" t="s">
        <v>72</v>
      </c>
      <c r="C35" s="9" t="s">
        <v>23</v>
      </c>
      <c r="D35" s="9" t="s">
        <v>59</v>
      </c>
      <c r="E35" s="9" t="s">
        <v>92</v>
      </c>
      <c r="F35" s="9">
        <v>779598695</v>
      </c>
      <c r="G35" s="9" t="s">
        <v>24</v>
      </c>
      <c r="H35" s="9" t="s">
        <v>13</v>
      </c>
      <c r="I35" s="9" t="s">
        <v>16</v>
      </c>
      <c r="J35" s="9" t="s">
        <v>93</v>
      </c>
      <c r="K35" s="9" t="s">
        <v>65</v>
      </c>
      <c r="L35" s="9">
        <v>5</v>
      </c>
      <c r="M35" s="11">
        <v>54000</v>
      </c>
      <c r="N35" s="11">
        <v>270000</v>
      </c>
      <c r="O35" s="7" t="str">
        <f>"S"&amp;_xlfn.ISOWEEKNUM(Semaine_1[[#This Row],[Date]])</f>
        <v>S19</v>
      </c>
      <c r="P35" t="str">
        <f>TEXT(Semaine_1[[#This Row],[Date]],"MMMM")</f>
        <v>mai</v>
      </c>
    </row>
    <row r="36" spans="1:16" ht="28.15" x14ac:dyDescent="0.45">
      <c r="A36" s="8">
        <v>46150</v>
      </c>
      <c r="B36" s="9" t="s">
        <v>72</v>
      </c>
      <c r="C36" s="9" t="s">
        <v>23</v>
      </c>
      <c r="D36" s="9" t="s">
        <v>41</v>
      </c>
      <c r="E36" s="9" t="s">
        <v>94</v>
      </c>
      <c r="F36" s="9">
        <v>775740574</v>
      </c>
      <c r="G36" s="9" t="s">
        <v>15</v>
      </c>
      <c r="H36" s="9" t="s">
        <v>13</v>
      </c>
      <c r="I36" s="9" t="s">
        <v>16</v>
      </c>
      <c r="J36" s="9" t="s">
        <v>95</v>
      </c>
      <c r="K36" s="9" t="s">
        <v>29</v>
      </c>
      <c r="L36" s="9">
        <v>25</v>
      </c>
      <c r="M36" s="11">
        <v>28000</v>
      </c>
      <c r="N36" s="11">
        <v>700000</v>
      </c>
      <c r="O36" s="7" t="str">
        <f>"S"&amp;_xlfn.ISOWEEKNUM(Semaine_1[[#This Row],[Date]])</f>
        <v>S19</v>
      </c>
      <c r="P36" t="str">
        <f>TEXT(Semaine_1[[#This Row],[Date]],"MMMM")</f>
        <v>mai</v>
      </c>
    </row>
    <row r="37" spans="1:16" ht="28.15" x14ac:dyDescent="0.45">
      <c r="A37" s="8">
        <v>46150</v>
      </c>
      <c r="B37" s="9" t="s">
        <v>73</v>
      </c>
      <c r="C37" s="9" t="s">
        <v>31</v>
      </c>
      <c r="D37" s="9" t="s">
        <v>96</v>
      </c>
      <c r="E37" s="9" t="s">
        <v>97</v>
      </c>
      <c r="F37" s="9">
        <v>775586819</v>
      </c>
      <c r="G37" s="9" t="s">
        <v>24</v>
      </c>
      <c r="H37" s="9" t="s">
        <v>13</v>
      </c>
      <c r="I37" s="9" t="s">
        <v>16</v>
      </c>
      <c r="J37" s="9" t="s">
        <v>20</v>
      </c>
      <c r="K37" s="9" t="s">
        <v>30</v>
      </c>
      <c r="L37" s="9">
        <v>25</v>
      </c>
      <c r="M37" s="11">
        <v>26000</v>
      </c>
      <c r="N37" s="11">
        <v>650000</v>
      </c>
      <c r="O37" s="7" t="str">
        <f>"S"&amp;_xlfn.ISOWEEKNUM(Semaine_1[[#This Row],[Date]])</f>
        <v>S19</v>
      </c>
      <c r="P37" t="str">
        <f>TEXT(Semaine_1[[#This Row],[Date]],"MMMM")</f>
        <v>mai</v>
      </c>
    </row>
    <row r="38" spans="1:16" ht="28.15" x14ac:dyDescent="0.45">
      <c r="A38" s="8">
        <v>46150</v>
      </c>
      <c r="B38" s="9" t="s">
        <v>73</v>
      </c>
      <c r="C38" s="9" t="s">
        <v>31</v>
      </c>
      <c r="D38" s="9" t="s">
        <v>98</v>
      </c>
      <c r="E38" s="9" t="s">
        <v>99</v>
      </c>
      <c r="F38" s="9">
        <v>775586604</v>
      </c>
      <c r="G38" s="9" t="s">
        <v>15</v>
      </c>
      <c r="H38" s="9" t="s">
        <v>13</v>
      </c>
      <c r="I38" s="9" t="s">
        <v>16</v>
      </c>
      <c r="J38" s="9" t="s">
        <v>20</v>
      </c>
      <c r="K38" s="9" t="s">
        <v>62</v>
      </c>
      <c r="L38" s="9">
        <v>50</v>
      </c>
      <c r="M38" s="11">
        <v>9000</v>
      </c>
      <c r="N38" s="11">
        <v>450000</v>
      </c>
      <c r="O38" s="7" t="str">
        <f>"S"&amp;_xlfn.ISOWEEKNUM(Semaine_1[[#This Row],[Date]])</f>
        <v>S19</v>
      </c>
      <c r="P38" t="str">
        <f>TEXT(Semaine_1[[#This Row],[Date]],"MMMM")</f>
        <v>mai</v>
      </c>
    </row>
    <row r="39" spans="1:16" ht="28.15" x14ac:dyDescent="0.45">
      <c r="A39" s="8">
        <v>46148</v>
      </c>
      <c r="B39" s="9" t="s">
        <v>54</v>
      </c>
      <c r="C39" s="9" t="s">
        <v>21</v>
      </c>
      <c r="D39" s="9" t="s">
        <v>22</v>
      </c>
      <c r="E39" s="9" t="s">
        <v>100</v>
      </c>
      <c r="F39" s="9">
        <v>778356666</v>
      </c>
      <c r="G39" s="9" t="s">
        <v>15</v>
      </c>
      <c r="H39" s="9" t="s">
        <v>13</v>
      </c>
      <c r="I39" s="9" t="s">
        <v>16</v>
      </c>
      <c r="J39" s="9" t="s">
        <v>20</v>
      </c>
      <c r="K39" s="9" t="s">
        <v>62</v>
      </c>
      <c r="L39" s="9">
        <v>100</v>
      </c>
      <c r="M39" s="11">
        <v>9000</v>
      </c>
      <c r="N39" s="11">
        <v>900000</v>
      </c>
      <c r="O39" s="7" t="str">
        <f>"S"&amp;_xlfn.ISOWEEKNUM(Semaine_1[[#This Row],[Date]])</f>
        <v>S19</v>
      </c>
      <c r="P39" t="str">
        <f>TEXT(Semaine_1[[#This Row],[Date]],"MMMM")</f>
        <v>mai</v>
      </c>
    </row>
    <row r="40" spans="1:16" ht="28.15" x14ac:dyDescent="0.45">
      <c r="A40" s="8">
        <v>46148</v>
      </c>
      <c r="B40" s="9" t="s">
        <v>72</v>
      </c>
      <c r="C40" s="9" t="s">
        <v>23</v>
      </c>
      <c r="D40" s="9" t="s">
        <v>101</v>
      </c>
      <c r="E40" s="9" t="s">
        <v>102</v>
      </c>
      <c r="F40" s="9">
        <v>770706706</v>
      </c>
      <c r="G40" s="9" t="s">
        <v>15</v>
      </c>
      <c r="H40" s="9" t="s">
        <v>13</v>
      </c>
      <c r="I40" s="9" t="s">
        <v>16</v>
      </c>
      <c r="J40" s="9" t="s">
        <v>103</v>
      </c>
      <c r="K40" s="9" t="s">
        <v>65</v>
      </c>
      <c r="L40" s="9">
        <v>5</v>
      </c>
      <c r="M40" s="11">
        <v>54000</v>
      </c>
      <c r="N40" s="11">
        <v>270000</v>
      </c>
      <c r="O40" s="7" t="str">
        <f>"S"&amp;_xlfn.ISOWEEKNUM(Semaine_1[[#This Row],[Date]])</f>
        <v>S19</v>
      </c>
      <c r="P40" t="str">
        <f>TEXT(Semaine_1[[#This Row],[Date]],"MMMM")</f>
        <v>mai</v>
      </c>
    </row>
    <row r="41" spans="1:16" ht="28.15" x14ac:dyDescent="0.45">
      <c r="A41" s="8">
        <v>46148</v>
      </c>
      <c r="B41" s="9" t="s">
        <v>72</v>
      </c>
      <c r="C41" s="9" t="s">
        <v>23</v>
      </c>
      <c r="D41" s="9" t="s">
        <v>101</v>
      </c>
      <c r="E41" s="9" t="s">
        <v>104</v>
      </c>
      <c r="F41" s="9">
        <v>766174009</v>
      </c>
      <c r="G41" s="9" t="s">
        <v>15</v>
      </c>
      <c r="H41" s="9" t="s">
        <v>13</v>
      </c>
      <c r="I41" s="9" t="s">
        <v>16</v>
      </c>
      <c r="J41" s="9" t="s">
        <v>103</v>
      </c>
      <c r="K41" s="9" t="s">
        <v>65</v>
      </c>
      <c r="L41" s="9">
        <v>10</v>
      </c>
      <c r="M41" s="11">
        <v>54000</v>
      </c>
      <c r="N41" s="11">
        <v>540000</v>
      </c>
      <c r="O41" s="7" t="str">
        <f>"S"&amp;_xlfn.ISOWEEKNUM(Semaine_1[[#This Row],[Date]])</f>
        <v>S19</v>
      </c>
      <c r="P41" t="str">
        <f>TEXT(Semaine_1[[#This Row],[Date]],"MMMM")</f>
        <v>mai</v>
      </c>
    </row>
    <row r="42" spans="1:16" ht="28.15" x14ac:dyDescent="0.45">
      <c r="A42" s="8">
        <v>46148</v>
      </c>
      <c r="B42" s="9" t="s">
        <v>72</v>
      </c>
      <c r="C42" s="9" t="s">
        <v>23</v>
      </c>
      <c r="D42" s="9" t="s">
        <v>40</v>
      </c>
      <c r="E42" s="9" t="s">
        <v>105</v>
      </c>
      <c r="F42" s="9">
        <v>762932950</v>
      </c>
      <c r="G42" s="9" t="s">
        <v>15</v>
      </c>
      <c r="H42" s="9" t="s">
        <v>13</v>
      </c>
      <c r="I42" s="9" t="s">
        <v>16</v>
      </c>
      <c r="J42" s="9" t="s">
        <v>45</v>
      </c>
      <c r="K42" s="9" t="s">
        <v>62</v>
      </c>
      <c r="L42" s="9">
        <v>15</v>
      </c>
      <c r="M42" s="11">
        <v>9000</v>
      </c>
      <c r="N42" s="11">
        <v>135000</v>
      </c>
      <c r="O42" s="7" t="str">
        <f>"S"&amp;_xlfn.ISOWEEKNUM(Semaine_1[[#This Row],[Date]])</f>
        <v>S19</v>
      </c>
      <c r="P42" t="str">
        <f>TEXT(Semaine_1[[#This Row],[Date]],"MMMM")</f>
        <v>mai</v>
      </c>
    </row>
    <row r="43" spans="1:16" ht="28.15" x14ac:dyDescent="0.45">
      <c r="A43" s="8">
        <v>46148</v>
      </c>
      <c r="B43" s="9" t="s">
        <v>72</v>
      </c>
      <c r="C43" s="9" t="s">
        <v>23</v>
      </c>
      <c r="D43" s="9" t="s">
        <v>101</v>
      </c>
      <c r="E43" s="9" t="s">
        <v>106</v>
      </c>
      <c r="F43" s="9">
        <v>774004048</v>
      </c>
      <c r="G43" s="9" t="s">
        <v>24</v>
      </c>
      <c r="H43" s="9" t="s">
        <v>13</v>
      </c>
      <c r="I43" s="9" t="s">
        <v>16</v>
      </c>
      <c r="J43" s="9" t="s">
        <v>107</v>
      </c>
      <c r="K43" s="9" t="s">
        <v>65</v>
      </c>
      <c r="L43" s="9">
        <v>50</v>
      </c>
      <c r="M43" s="11">
        <v>54000</v>
      </c>
      <c r="N43" s="11">
        <v>2700000</v>
      </c>
      <c r="O43" s="7" t="str">
        <f>"S"&amp;_xlfn.ISOWEEKNUM(Semaine_1[[#This Row],[Date]])</f>
        <v>S19</v>
      </c>
      <c r="P43" t="str">
        <f>TEXT(Semaine_1[[#This Row],[Date]],"MMMM")</f>
        <v>mai</v>
      </c>
    </row>
    <row r="44" spans="1:16" ht="28.15" x14ac:dyDescent="0.45">
      <c r="A44" s="8">
        <v>46151</v>
      </c>
      <c r="B44" s="9" t="s">
        <v>70</v>
      </c>
      <c r="C44" s="9" t="s">
        <v>14</v>
      </c>
      <c r="D44" s="9" t="s">
        <v>36</v>
      </c>
      <c r="E44" s="9" t="s">
        <v>108</v>
      </c>
      <c r="F44" s="10">
        <v>775602981</v>
      </c>
      <c r="G44" s="9" t="s">
        <v>15</v>
      </c>
      <c r="H44" s="9" t="s">
        <v>13</v>
      </c>
      <c r="I44" s="9" t="s">
        <v>16</v>
      </c>
      <c r="J44" s="9" t="s">
        <v>38</v>
      </c>
      <c r="K44" s="9" t="s">
        <v>49</v>
      </c>
      <c r="L44" s="9">
        <v>25</v>
      </c>
      <c r="M44" s="11">
        <v>6000</v>
      </c>
      <c r="N44" s="11">
        <v>150000</v>
      </c>
      <c r="O44" s="7" t="str">
        <f>"S"&amp;_xlfn.ISOWEEKNUM(Semaine_1[[#This Row],[Date]])</f>
        <v>S19</v>
      </c>
      <c r="P44" t="str">
        <f>TEXT(Semaine_1[[#This Row],[Date]],"MMMM")</f>
        <v>mai</v>
      </c>
    </row>
    <row r="45" spans="1:16" ht="28.15" x14ac:dyDescent="0.45">
      <c r="A45" s="8">
        <v>46150</v>
      </c>
      <c r="B45" s="9" t="s">
        <v>72</v>
      </c>
      <c r="C45" s="9" t="s">
        <v>23</v>
      </c>
      <c r="D45" s="9" t="s">
        <v>40</v>
      </c>
      <c r="E45" s="9" t="s">
        <v>109</v>
      </c>
      <c r="F45" s="10">
        <v>781316258</v>
      </c>
      <c r="G45" s="9" t="s">
        <v>15</v>
      </c>
      <c r="H45" s="9" t="s">
        <v>13</v>
      </c>
      <c r="I45" s="9" t="s">
        <v>16</v>
      </c>
      <c r="J45" s="9" t="s">
        <v>110</v>
      </c>
      <c r="K45" s="9" t="s">
        <v>65</v>
      </c>
      <c r="L45" s="9">
        <v>10</v>
      </c>
      <c r="M45" s="11">
        <v>54000</v>
      </c>
      <c r="N45" s="11">
        <v>540000</v>
      </c>
      <c r="O45" s="7" t="str">
        <f>"S"&amp;_xlfn.ISOWEEKNUM(Semaine_1[[#This Row],[Date]])</f>
        <v>S19</v>
      </c>
      <c r="P45" t="str">
        <f>TEXT(Semaine_1[[#This Row],[Date]],"MMMM")</f>
        <v>mai</v>
      </c>
    </row>
    <row r="46" spans="1:16" x14ac:dyDescent="0.45">
      <c r="A46" s="8">
        <v>46150</v>
      </c>
      <c r="B46" s="9" t="s">
        <v>53</v>
      </c>
      <c r="C46" s="9" t="s">
        <v>39</v>
      </c>
      <c r="D46" s="9" t="s">
        <v>44</v>
      </c>
      <c r="E46" s="9" t="s">
        <v>111</v>
      </c>
      <c r="F46" s="10">
        <v>774415358</v>
      </c>
      <c r="G46" s="9" t="s">
        <v>15</v>
      </c>
      <c r="H46" s="9" t="s">
        <v>13</v>
      </c>
      <c r="I46" s="9" t="s">
        <v>16</v>
      </c>
      <c r="J46" s="9" t="s">
        <v>112</v>
      </c>
      <c r="K46" s="9" t="s">
        <v>30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S19</v>
      </c>
      <c r="P46" t="str">
        <f>TEXT(Semaine_1[[#This Row],[Date]],"MMMM")</f>
        <v>mai</v>
      </c>
    </row>
    <row r="47" spans="1:16" ht="28.15" x14ac:dyDescent="0.45">
      <c r="A47" s="8">
        <v>46150</v>
      </c>
      <c r="B47" s="9" t="s">
        <v>72</v>
      </c>
      <c r="C47" s="9" t="s">
        <v>23</v>
      </c>
      <c r="D47" s="9" t="s">
        <v>40</v>
      </c>
      <c r="E47" s="9" t="s">
        <v>113</v>
      </c>
      <c r="F47" s="10">
        <v>784426640</v>
      </c>
      <c r="G47" s="9" t="s">
        <v>15</v>
      </c>
      <c r="H47" s="9" t="s">
        <v>13</v>
      </c>
      <c r="I47" s="9" t="s">
        <v>16</v>
      </c>
      <c r="J47" s="9" t="s">
        <v>45</v>
      </c>
      <c r="K47" s="9" t="s">
        <v>56</v>
      </c>
      <c r="L47" s="9">
        <v>15</v>
      </c>
      <c r="M47" s="11">
        <v>19500</v>
      </c>
      <c r="N47" s="11">
        <v>292500</v>
      </c>
      <c r="O47" s="7" t="str">
        <f>"S"&amp;_xlfn.ISOWEEKNUM(Semaine_1[[#This Row],[Date]])</f>
        <v>S19</v>
      </c>
      <c r="P47" t="str">
        <f>TEXT(Semaine_1[[#This Row],[Date]],"MMMM")</f>
        <v>mai</v>
      </c>
    </row>
    <row r="48" spans="1:16" x14ac:dyDescent="0.45">
      <c r="A48" s="8">
        <v>46150</v>
      </c>
      <c r="B48" s="9" t="s">
        <v>53</v>
      </c>
      <c r="C48" s="9" t="s">
        <v>39</v>
      </c>
      <c r="D48" s="9" t="s">
        <v>39</v>
      </c>
      <c r="E48" s="9" t="s">
        <v>60</v>
      </c>
      <c r="F48" s="10">
        <v>773122246</v>
      </c>
      <c r="G48" s="9" t="s">
        <v>15</v>
      </c>
      <c r="H48" s="9" t="s">
        <v>13</v>
      </c>
      <c r="I48" s="9" t="s">
        <v>16</v>
      </c>
      <c r="J48" s="9" t="s">
        <v>89</v>
      </c>
      <c r="K48" s="9" t="s">
        <v>30</v>
      </c>
      <c r="L48" s="9">
        <v>25</v>
      </c>
      <c r="M48" s="11">
        <v>26000</v>
      </c>
      <c r="N48" s="11">
        <v>650000</v>
      </c>
      <c r="O48" s="7" t="str">
        <f>"S"&amp;_xlfn.ISOWEEKNUM(Semaine_1[[#This Row],[Date]])</f>
        <v>S19</v>
      </c>
      <c r="P48" t="str">
        <f>TEXT(Semaine_1[[#This Row],[Date]],"MMMM")</f>
        <v>mai</v>
      </c>
    </row>
    <row r="49" spans="1:16" x14ac:dyDescent="0.45">
      <c r="A49" s="8">
        <v>46150</v>
      </c>
      <c r="B49" s="9" t="s">
        <v>71</v>
      </c>
      <c r="C49" s="9" t="s">
        <v>25</v>
      </c>
      <c r="D49" s="9" t="s">
        <v>28</v>
      </c>
      <c r="E49" s="9" t="s">
        <v>55</v>
      </c>
      <c r="F49" s="10">
        <v>775544532</v>
      </c>
      <c r="G49" s="9" t="s">
        <v>24</v>
      </c>
      <c r="H49" s="9" t="s">
        <v>13</v>
      </c>
      <c r="I49" s="9" t="s">
        <v>16</v>
      </c>
      <c r="J49" s="9" t="s">
        <v>26</v>
      </c>
      <c r="K49" s="9" t="s">
        <v>30</v>
      </c>
      <c r="L49" s="9">
        <v>100</v>
      </c>
      <c r="M49" s="11">
        <v>26000</v>
      </c>
      <c r="N49" s="11">
        <v>2600000</v>
      </c>
      <c r="O49" s="7" t="str">
        <f>"S"&amp;_xlfn.ISOWEEKNUM(Semaine_1[[#This Row],[Date]])</f>
        <v>S19</v>
      </c>
      <c r="P49" t="str">
        <f>TEXT(Semaine_1[[#This Row],[Date]],"MMMM")</f>
        <v>mai</v>
      </c>
    </row>
    <row r="50" spans="1:16" x14ac:dyDescent="0.45">
      <c r="A50" s="8">
        <v>46150</v>
      </c>
      <c r="B50" s="9" t="s">
        <v>71</v>
      </c>
      <c r="C50" s="9" t="s">
        <v>25</v>
      </c>
      <c r="D50" s="9" t="s">
        <v>33</v>
      </c>
      <c r="E50" s="9" t="s">
        <v>69</v>
      </c>
      <c r="F50" s="10">
        <v>772131614</v>
      </c>
      <c r="G50" s="9" t="s">
        <v>15</v>
      </c>
      <c r="H50" s="9" t="s">
        <v>13</v>
      </c>
      <c r="I50" s="9" t="s">
        <v>16</v>
      </c>
      <c r="J50" s="9" t="s">
        <v>26</v>
      </c>
      <c r="K50" s="9" t="s">
        <v>62</v>
      </c>
      <c r="L50" s="9">
        <v>10</v>
      </c>
      <c r="M50" s="11">
        <v>9000</v>
      </c>
      <c r="N50" s="11">
        <v>90000</v>
      </c>
      <c r="O50" s="7" t="str">
        <f>"S"&amp;_xlfn.ISOWEEKNUM(Semaine_1[[#This Row],[Date]])</f>
        <v>S19</v>
      </c>
      <c r="P50" t="str">
        <f>TEXT(Semaine_1[[#This Row],[Date]],"MMMM")</f>
        <v>mai</v>
      </c>
    </row>
    <row r="51" spans="1:16" ht="28.15" x14ac:dyDescent="0.45">
      <c r="A51" s="8">
        <v>46150</v>
      </c>
      <c r="B51" s="9" t="s">
        <v>76</v>
      </c>
      <c r="C51" s="9" t="s">
        <v>66</v>
      </c>
      <c r="D51" s="9" t="s">
        <v>114</v>
      </c>
      <c r="E51" s="9" t="s">
        <v>115</v>
      </c>
      <c r="F51" s="10">
        <v>776327767</v>
      </c>
      <c r="G51" s="9" t="s">
        <v>24</v>
      </c>
      <c r="H51" s="9" t="s">
        <v>13</v>
      </c>
      <c r="I51" s="9" t="s">
        <v>16</v>
      </c>
      <c r="J51" s="9" t="s">
        <v>20</v>
      </c>
      <c r="K51" s="9" t="s">
        <v>62</v>
      </c>
      <c r="L51" s="9">
        <v>20</v>
      </c>
      <c r="M51" s="11">
        <v>9000</v>
      </c>
      <c r="N51" s="11">
        <v>180000</v>
      </c>
      <c r="O51" s="7" t="str">
        <f>"S"&amp;_xlfn.ISOWEEKNUM(Semaine_1[[#This Row],[Date]])</f>
        <v>S19</v>
      </c>
      <c r="P51" t="str">
        <f>TEXT(Semaine_1[[#This Row],[Date]],"MMMM")</f>
        <v>mai</v>
      </c>
    </row>
    <row r="52" spans="1:16" ht="28.15" x14ac:dyDescent="0.45">
      <c r="A52" s="8">
        <v>46150</v>
      </c>
      <c r="B52" s="9" t="s">
        <v>76</v>
      </c>
      <c r="C52" s="9" t="s">
        <v>66</v>
      </c>
      <c r="D52" s="9" t="s">
        <v>114</v>
      </c>
      <c r="E52" s="9" t="s">
        <v>115</v>
      </c>
      <c r="F52" s="10">
        <v>776327767</v>
      </c>
      <c r="G52" s="9" t="s">
        <v>24</v>
      </c>
      <c r="H52" s="9" t="s">
        <v>13</v>
      </c>
      <c r="I52" s="9" t="s">
        <v>16</v>
      </c>
      <c r="J52" s="9" t="s">
        <v>20</v>
      </c>
      <c r="K52" s="9" t="s">
        <v>27</v>
      </c>
      <c r="L52" s="9">
        <v>10</v>
      </c>
      <c r="M52" s="11">
        <v>9000</v>
      </c>
      <c r="N52" s="11">
        <v>90000</v>
      </c>
      <c r="O52" s="7" t="str">
        <f>"S"&amp;_xlfn.ISOWEEKNUM(Semaine_1[[#This Row],[Date]])</f>
        <v>S19</v>
      </c>
      <c r="P52" t="str">
        <f>TEXT(Semaine_1[[#This Row],[Date]],"MMMM")</f>
        <v>mai</v>
      </c>
    </row>
    <row r="53" spans="1:16" ht="28.15" x14ac:dyDescent="0.45">
      <c r="A53" s="8">
        <v>46150</v>
      </c>
      <c r="B53" s="9" t="s">
        <v>54</v>
      </c>
      <c r="C53" s="9" t="s">
        <v>21</v>
      </c>
      <c r="D53" s="9" t="s">
        <v>22</v>
      </c>
      <c r="E53" s="9" t="s">
        <v>116</v>
      </c>
      <c r="F53" s="10">
        <v>773066194</v>
      </c>
      <c r="G53" s="9" t="s">
        <v>15</v>
      </c>
      <c r="H53" s="9" t="s">
        <v>13</v>
      </c>
      <c r="I53" s="9" t="s">
        <v>16</v>
      </c>
      <c r="J53" s="9" t="s">
        <v>20</v>
      </c>
      <c r="K53" s="9" t="s">
        <v>30</v>
      </c>
      <c r="L53" s="9">
        <v>25</v>
      </c>
      <c r="M53" s="11">
        <v>26000</v>
      </c>
      <c r="N53" s="11">
        <v>650000</v>
      </c>
      <c r="O53" s="7" t="str">
        <f>"S"&amp;_xlfn.ISOWEEKNUM(Semaine_1[[#This Row],[Date]])</f>
        <v>S19</v>
      </c>
      <c r="P53" t="str">
        <f>TEXT(Semaine_1[[#This Row],[Date]],"MMMM")</f>
        <v>mai</v>
      </c>
    </row>
    <row r="54" spans="1:16" ht="28.15" x14ac:dyDescent="0.45">
      <c r="A54" s="8">
        <v>46149</v>
      </c>
      <c r="B54" s="9" t="s">
        <v>53</v>
      </c>
      <c r="C54" s="9" t="s">
        <v>39</v>
      </c>
      <c r="D54" s="9" t="s">
        <v>90</v>
      </c>
      <c r="E54" s="9" t="s">
        <v>117</v>
      </c>
      <c r="F54" s="10">
        <v>781091498</v>
      </c>
      <c r="G54" s="9" t="s">
        <v>15</v>
      </c>
      <c r="H54" s="9" t="s">
        <v>52</v>
      </c>
      <c r="I54" s="9" t="s">
        <v>16</v>
      </c>
      <c r="J54" s="9" t="s">
        <v>118</v>
      </c>
      <c r="K54" s="9" t="s">
        <v>65</v>
      </c>
      <c r="L54" s="9">
        <v>20</v>
      </c>
      <c r="M54" s="11">
        <v>54000</v>
      </c>
      <c r="N54" s="11">
        <v>1080000</v>
      </c>
      <c r="O54" s="7" t="str">
        <f>"S"&amp;_xlfn.ISOWEEKNUM(Semaine_1[[#This Row],[Date]])</f>
        <v>S19</v>
      </c>
      <c r="P54" t="str">
        <f>TEXT(Semaine_1[[#This Row],[Date]],"MMMM")</f>
        <v>mai</v>
      </c>
    </row>
    <row r="55" spans="1:16" ht="28.15" x14ac:dyDescent="0.45">
      <c r="A55" s="8">
        <v>46147</v>
      </c>
      <c r="B55" s="9" t="s">
        <v>72</v>
      </c>
      <c r="C55" s="9" t="s">
        <v>23</v>
      </c>
      <c r="D55" s="9" t="s">
        <v>119</v>
      </c>
      <c r="E55" s="9" t="s">
        <v>120</v>
      </c>
      <c r="F55" s="10">
        <v>783682649</v>
      </c>
      <c r="G55" s="9" t="s">
        <v>15</v>
      </c>
      <c r="H55" s="9" t="s">
        <v>13</v>
      </c>
      <c r="I55" s="9" t="s">
        <v>16</v>
      </c>
      <c r="J55" s="9" t="s">
        <v>45</v>
      </c>
      <c r="K55" s="9" t="s">
        <v>62</v>
      </c>
      <c r="L55" s="9">
        <v>15</v>
      </c>
      <c r="M55" s="11">
        <v>9000</v>
      </c>
      <c r="N55" s="11">
        <v>135000</v>
      </c>
      <c r="O55" s="7" t="str">
        <f>"S"&amp;_xlfn.ISOWEEKNUM(Semaine_1[[#This Row],[Date]])</f>
        <v>S19</v>
      </c>
      <c r="P55" t="str">
        <f>TEXT(Semaine_1[[#This Row],[Date]],"MMMM")</f>
        <v>mai</v>
      </c>
    </row>
    <row r="56" spans="1:16" ht="28.15" x14ac:dyDescent="0.45">
      <c r="A56" s="8">
        <v>46147</v>
      </c>
      <c r="B56" s="9" t="s">
        <v>72</v>
      </c>
      <c r="C56" s="9" t="s">
        <v>23</v>
      </c>
      <c r="D56" s="9" t="s">
        <v>119</v>
      </c>
      <c r="E56" s="9" t="s">
        <v>120</v>
      </c>
      <c r="F56" s="10">
        <v>783682649</v>
      </c>
      <c r="G56" s="9" t="s">
        <v>15</v>
      </c>
      <c r="H56" s="9" t="s">
        <v>13</v>
      </c>
      <c r="I56" s="9" t="s">
        <v>16</v>
      </c>
      <c r="J56" s="9" t="s">
        <v>45</v>
      </c>
      <c r="K56" s="9" t="s">
        <v>27</v>
      </c>
      <c r="L56" s="9">
        <v>10</v>
      </c>
      <c r="M56" s="11">
        <v>9000</v>
      </c>
      <c r="N56" s="11">
        <v>90000</v>
      </c>
      <c r="O56" s="7" t="str">
        <f>"S"&amp;_xlfn.ISOWEEKNUM(Semaine_1[[#This Row],[Date]])</f>
        <v>S19</v>
      </c>
      <c r="P56" t="str">
        <f>TEXT(Semaine_1[[#This Row],[Date]],"MMMM")</f>
        <v>mai</v>
      </c>
    </row>
    <row r="57" spans="1:16" x14ac:dyDescent="0.45">
      <c r="A57" s="8">
        <v>46147</v>
      </c>
      <c r="B57" s="9" t="s">
        <v>53</v>
      </c>
      <c r="C57" s="9" t="s">
        <v>39</v>
      </c>
      <c r="D57" s="9" t="s">
        <v>90</v>
      </c>
      <c r="E57" s="9" t="s">
        <v>121</v>
      </c>
      <c r="F57" s="10">
        <v>772038792</v>
      </c>
      <c r="G57" s="9" t="s">
        <v>15</v>
      </c>
      <c r="H57" s="9" t="s">
        <v>13</v>
      </c>
      <c r="I57" s="9" t="s">
        <v>16</v>
      </c>
      <c r="J57" s="9" t="s">
        <v>48</v>
      </c>
      <c r="K57" s="9" t="s">
        <v>65</v>
      </c>
      <c r="L57" s="9">
        <v>10</v>
      </c>
      <c r="M57" s="11">
        <v>54000</v>
      </c>
      <c r="N57" s="11">
        <v>540000</v>
      </c>
      <c r="O57" s="7" t="str">
        <f>"S"&amp;_xlfn.ISOWEEKNUM(Semaine_1[[#This Row],[Date]])</f>
        <v>S19</v>
      </c>
      <c r="P57" t="str">
        <f>TEXT(Semaine_1[[#This Row],[Date]],"MMMM")</f>
        <v>mai</v>
      </c>
    </row>
    <row r="58" spans="1:16" x14ac:dyDescent="0.45">
      <c r="A58" s="8">
        <v>46147</v>
      </c>
      <c r="B58" s="9" t="s">
        <v>53</v>
      </c>
      <c r="C58" s="9" t="s">
        <v>39</v>
      </c>
      <c r="D58" s="9" t="s">
        <v>44</v>
      </c>
      <c r="E58" s="9" t="s">
        <v>88</v>
      </c>
      <c r="F58" s="10">
        <v>788217757</v>
      </c>
      <c r="G58" s="9" t="s">
        <v>15</v>
      </c>
      <c r="H58" s="9" t="s">
        <v>13</v>
      </c>
      <c r="I58" s="9" t="s">
        <v>16</v>
      </c>
      <c r="J58" s="9" t="s">
        <v>48</v>
      </c>
      <c r="K58" s="9" t="s">
        <v>62</v>
      </c>
      <c r="L58" s="9">
        <v>20</v>
      </c>
      <c r="M58" s="11">
        <v>9000</v>
      </c>
      <c r="N58" s="11">
        <v>180000</v>
      </c>
      <c r="O58" s="7" t="str">
        <f>"S"&amp;_xlfn.ISOWEEKNUM(Semaine_1[[#This Row],[Date]])</f>
        <v>S19</v>
      </c>
      <c r="P58" t="str">
        <f>TEXT(Semaine_1[[#This Row],[Date]],"MMMM")</f>
        <v>mai</v>
      </c>
    </row>
    <row r="59" spans="1:16" x14ac:dyDescent="0.45">
      <c r="A59" s="8">
        <v>46147</v>
      </c>
      <c r="B59" s="9" t="s">
        <v>53</v>
      </c>
      <c r="C59" s="9" t="s">
        <v>39</v>
      </c>
      <c r="D59" s="9" t="s">
        <v>44</v>
      </c>
      <c r="E59" s="9" t="s">
        <v>122</v>
      </c>
      <c r="F59" s="10">
        <v>772773318</v>
      </c>
      <c r="G59" s="9" t="s">
        <v>123</v>
      </c>
      <c r="H59" s="9" t="s">
        <v>13</v>
      </c>
      <c r="I59" s="9" t="s">
        <v>16</v>
      </c>
      <c r="J59" s="9" t="s">
        <v>48</v>
      </c>
      <c r="K59" s="9" t="s">
        <v>62</v>
      </c>
      <c r="L59" s="9">
        <v>5</v>
      </c>
      <c r="M59" s="11">
        <v>9000</v>
      </c>
      <c r="N59" s="11">
        <v>45000</v>
      </c>
      <c r="O59" s="7" t="str">
        <f>"S"&amp;_xlfn.ISOWEEKNUM(Semaine_1[[#This Row],[Date]])</f>
        <v>S19</v>
      </c>
      <c r="P59" t="str">
        <f>TEXT(Semaine_1[[#This Row],[Date]],"MMMM")</f>
        <v>mai</v>
      </c>
    </row>
    <row r="60" spans="1:16" ht="28.15" x14ac:dyDescent="0.45">
      <c r="A60" s="8">
        <v>46158</v>
      </c>
      <c r="B60" s="9" t="s">
        <v>72</v>
      </c>
      <c r="C60" s="9" t="s">
        <v>23</v>
      </c>
      <c r="D60" s="9" t="s">
        <v>40</v>
      </c>
      <c r="E60" s="9" t="s">
        <v>109</v>
      </c>
      <c r="F60" s="10">
        <v>781316258</v>
      </c>
      <c r="G60" s="9" t="s">
        <v>15</v>
      </c>
      <c r="H60" s="9" t="s">
        <v>13</v>
      </c>
      <c r="I60" s="9" t="s">
        <v>16</v>
      </c>
      <c r="J60" s="9" t="s">
        <v>124</v>
      </c>
      <c r="K60" s="9" t="s">
        <v>27</v>
      </c>
      <c r="L60" s="9">
        <v>60</v>
      </c>
      <c r="M60" s="11">
        <v>9000</v>
      </c>
      <c r="N60" s="11">
        <v>540000</v>
      </c>
      <c r="O60" s="7" t="str">
        <f>"S"&amp;_xlfn.ISOWEEKNUM(Semaine_1[[#This Row],[Date]])</f>
        <v>S20</v>
      </c>
      <c r="P60" t="str">
        <f>TEXT(Semaine_1[[#This Row],[Date]],"MMMM")</f>
        <v>mai</v>
      </c>
    </row>
    <row r="61" spans="1:16" ht="28.15" x14ac:dyDescent="0.45">
      <c r="A61" s="8">
        <v>46158</v>
      </c>
      <c r="B61" s="9" t="s">
        <v>72</v>
      </c>
      <c r="C61" s="9" t="s">
        <v>23</v>
      </c>
      <c r="D61" s="9" t="s">
        <v>40</v>
      </c>
      <c r="E61" s="9" t="s">
        <v>109</v>
      </c>
      <c r="F61" s="10">
        <v>781316258</v>
      </c>
      <c r="G61" s="9" t="s">
        <v>15</v>
      </c>
      <c r="H61" s="9" t="s">
        <v>13</v>
      </c>
      <c r="I61" s="9" t="s">
        <v>16</v>
      </c>
      <c r="J61" s="9" t="s">
        <v>124</v>
      </c>
      <c r="K61" s="9" t="s">
        <v>62</v>
      </c>
      <c r="L61" s="9">
        <v>10</v>
      </c>
      <c r="M61" s="11">
        <v>9000</v>
      </c>
      <c r="N61" s="11">
        <v>90000</v>
      </c>
      <c r="O61" s="7" t="str">
        <f>"S"&amp;_xlfn.ISOWEEKNUM(Semaine_1[[#This Row],[Date]])</f>
        <v>S20</v>
      </c>
      <c r="P61" t="str">
        <f>TEXT(Semaine_1[[#This Row],[Date]],"MMMM")</f>
        <v>mai</v>
      </c>
    </row>
    <row r="62" spans="1:16" ht="28.15" x14ac:dyDescent="0.45">
      <c r="A62" s="8">
        <v>46157</v>
      </c>
      <c r="B62" s="9" t="s">
        <v>73</v>
      </c>
      <c r="C62" s="9" t="s">
        <v>31</v>
      </c>
      <c r="D62" s="9" t="s">
        <v>32</v>
      </c>
      <c r="E62" s="9" t="s">
        <v>75</v>
      </c>
      <c r="F62" s="10">
        <v>776149093</v>
      </c>
      <c r="G62" s="9" t="s">
        <v>24</v>
      </c>
      <c r="H62" s="9" t="s">
        <v>13</v>
      </c>
      <c r="I62" s="9" t="s">
        <v>16</v>
      </c>
      <c r="J62" s="9" t="s">
        <v>20</v>
      </c>
      <c r="K62" s="9" t="s">
        <v>49</v>
      </c>
      <c r="L62" s="9">
        <v>25</v>
      </c>
      <c r="M62" s="11">
        <v>6000</v>
      </c>
      <c r="N62" s="11">
        <v>150000</v>
      </c>
      <c r="O62" s="7" t="str">
        <f>"S"&amp;_xlfn.ISOWEEKNUM(Semaine_1[[#This Row],[Date]])</f>
        <v>S20</v>
      </c>
      <c r="P62" t="str">
        <f>TEXT(Semaine_1[[#This Row],[Date]],"MMMM")</f>
        <v>mai</v>
      </c>
    </row>
    <row r="63" spans="1:16" ht="28.15" x14ac:dyDescent="0.45">
      <c r="A63" s="8">
        <v>46157</v>
      </c>
      <c r="B63" s="9" t="s">
        <v>76</v>
      </c>
      <c r="C63" s="9" t="s">
        <v>66</v>
      </c>
      <c r="D63" s="9" t="s">
        <v>125</v>
      </c>
      <c r="E63" s="9" t="s">
        <v>126</v>
      </c>
      <c r="F63" s="10">
        <v>773012416</v>
      </c>
      <c r="G63" s="9" t="s">
        <v>15</v>
      </c>
      <c r="H63" s="9" t="s">
        <v>13</v>
      </c>
      <c r="I63" s="9" t="s">
        <v>16</v>
      </c>
      <c r="J63" s="9" t="s">
        <v>127</v>
      </c>
      <c r="K63" s="9" t="s">
        <v>35</v>
      </c>
      <c r="L63" s="9">
        <v>25</v>
      </c>
      <c r="M63" s="11">
        <v>12000</v>
      </c>
      <c r="N63" s="11">
        <v>300000</v>
      </c>
      <c r="O63" s="7" t="str">
        <f>"S"&amp;_xlfn.ISOWEEKNUM(Semaine_1[[#This Row],[Date]])</f>
        <v>S20</v>
      </c>
      <c r="P63" t="str">
        <f>TEXT(Semaine_1[[#This Row],[Date]],"MMMM")</f>
        <v>mai</v>
      </c>
    </row>
    <row r="64" spans="1:16" ht="28.15" x14ac:dyDescent="0.45">
      <c r="A64" s="8">
        <v>46157</v>
      </c>
      <c r="B64" s="9" t="s">
        <v>76</v>
      </c>
      <c r="C64" s="9" t="s">
        <v>66</v>
      </c>
      <c r="D64" s="9" t="s">
        <v>125</v>
      </c>
      <c r="E64" s="9" t="s">
        <v>128</v>
      </c>
      <c r="F64" s="10">
        <v>773178746</v>
      </c>
      <c r="G64" s="9" t="s">
        <v>15</v>
      </c>
      <c r="H64" s="9" t="s">
        <v>52</v>
      </c>
      <c r="I64" s="9" t="s">
        <v>16</v>
      </c>
      <c r="J64" s="9" t="s">
        <v>127</v>
      </c>
      <c r="K64" s="9" t="s">
        <v>62</v>
      </c>
      <c r="L64" s="9">
        <v>27</v>
      </c>
      <c r="M64" s="11">
        <v>9000</v>
      </c>
      <c r="N64" s="11">
        <v>243000</v>
      </c>
      <c r="O64" s="7" t="str">
        <f>"S"&amp;_xlfn.ISOWEEKNUM(Semaine_1[[#This Row],[Date]])</f>
        <v>S20</v>
      </c>
      <c r="P64" t="str">
        <f>TEXT(Semaine_1[[#This Row],[Date]],"MMMM")</f>
        <v>mai</v>
      </c>
    </row>
    <row r="65" spans="1:16" ht="28.15" x14ac:dyDescent="0.45">
      <c r="A65" s="8">
        <v>46157</v>
      </c>
      <c r="B65" s="9" t="s">
        <v>76</v>
      </c>
      <c r="C65" s="9" t="s">
        <v>66</v>
      </c>
      <c r="D65" s="9" t="s">
        <v>125</v>
      </c>
      <c r="E65" s="9" t="s">
        <v>129</v>
      </c>
      <c r="F65" s="10">
        <v>773701528</v>
      </c>
      <c r="G65" s="9" t="s">
        <v>15</v>
      </c>
      <c r="H65" s="9" t="s">
        <v>52</v>
      </c>
      <c r="I65" s="9" t="s">
        <v>16</v>
      </c>
      <c r="J65" s="9" t="s">
        <v>127</v>
      </c>
      <c r="K65" s="9" t="s">
        <v>35</v>
      </c>
      <c r="L65" s="9">
        <v>6</v>
      </c>
      <c r="M65" s="11">
        <v>12000</v>
      </c>
      <c r="N65" s="11">
        <v>72000</v>
      </c>
      <c r="O65" s="7" t="str">
        <f>"S"&amp;_xlfn.ISOWEEKNUM(Semaine_1[[#This Row],[Date]])</f>
        <v>S20</v>
      </c>
      <c r="P65" t="str">
        <f>TEXT(Semaine_1[[#This Row],[Date]],"MMMM")</f>
        <v>mai</v>
      </c>
    </row>
    <row r="66" spans="1:16" ht="28.15" x14ac:dyDescent="0.45">
      <c r="A66" s="8">
        <v>46157</v>
      </c>
      <c r="B66" s="9" t="s">
        <v>76</v>
      </c>
      <c r="C66" s="9" t="s">
        <v>66</v>
      </c>
      <c r="D66" s="9" t="s">
        <v>130</v>
      </c>
      <c r="E66" s="9" t="s">
        <v>131</v>
      </c>
      <c r="F66" s="10">
        <v>765956010</v>
      </c>
      <c r="G66" s="9" t="s">
        <v>15</v>
      </c>
      <c r="H66" s="9" t="s">
        <v>52</v>
      </c>
      <c r="I66" s="9" t="s">
        <v>16</v>
      </c>
      <c r="J66" s="9" t="s">
        <v>127</v>
      </c>
      <c r="K66" s="9" t="s">
        <v>27</v>
      </c>
      <c r="L66" s="9">
        <v>10</v>
      </c>
      <c r="M66" s="11">
        <v>9000</v>
      </c>
      <c r="N66" s="11">
        <v>90000</v>
      </c>
      <c r="O66" s="7" t="str">
        <f>"S"&amp;_xlfn.ISOWEEKNUM(Semaine_1[[#This Row],[Date]])</f>
        <v>S20</v>
      </c>
      <c r="P66" t="str">
        <f>TEXT(Semaine_1[[#This Row],[Date]],"MMMM")</f>
        <v>mai</v>
      </c>
    </row>
    <row r="67" spans="1:16" ht="28.15" x14ac:dyDescent="0.45">
      <c r="A67" s="8">
        <v>46156</v>
      </c>
      <c r="B67" s="9" t="s">
        <v>73</v>
      </c>
      <c r="C67" s="9" t="s">
        <v>31</v>
      </c>
      <c r="D67" s="9" t="s">
        <v>42</v>
      </c>
      <c r="E67" s="9" t="s">
        <v>132</v>
      </c>
      <c r="F67" s="10">
        <v>781282357</v>
      </c>
      <c r="G67" s="9" t="s">
        <v>15</v>
      </c>
      <c r="H67" s="9" t="s">
        <v>13</v>
      </c>
      <c r="I67" s="9" t="s">
        <v>16</v>
      </c>
      <c r="J67" s="9" t="s">
        <v>20</v>
      </c>
      <c r="K67" s="9" t="s">
        <v>30</v>
      </c>
      <c r="L67" s="9">
        <v>50</v>
      </c>
      <c r="M67" s="11">
        <v>26000</v>
      </c>
      <c r="N67" s="11">
        <v>1300000</v>
      </c>
      <c r="O67" s="7" t="str">
        <f>"S"&amp;_xlfn.ISOWEEKNUM(Semaine_1[[#This Row],[Date]])</f>
        <v>S20</v>
      </c>
      <c r="P67" t="str">
        <f>TEXT(Semaine_1[[#This Row],[Date]],"MMMM")</f>
        <v>mai</v>
      </c>
    </row>
    <row r="68" spans="1:16" ht="28.15" x14ac:dyDescent="0.45">
      <c r="A68" s="8">
        <v>46156</v>
      </c>
      <c r="B68" s="9" t="s">
        <v>73</v>
      </c>
      <c r="C68" s="9" t="s">
        <v>31</v>
      </c>
      <c r="D68" s="9" t="s">
        <v>50</v>
      </c>
      <c r="E68" s="9" t="s">
        <v>133</v>
      </c>
      <c r="F68" s="10">
        <v>762974040</v>
      </c>
      <c r="G68" s="9" t="s">
        <v>15</v>
      </c>
      <c r="H68" s="9" t="s">
        <v>13</v>
      </c>
      <c r="I68" s="9" t="s">
        <v>16</v>
      </c>
      <c r="J68" s="9" t="s">
        <v>20</v>
      </c>
      <c r="K68" s="9" t="s">
        <v>30</v>
      </c>
      <c r="L68" s="9">
        <v>25</v>
      </c>
      <c r="M68" s="11">
        <v>26000</v>
      </c>
      <c r="N68" s="11">
        <v>650000</v>
      </c>
      <c r="O68" s="7" t="str">
        <f>"S"&amp;_xlfn.ISOWEEKNUM(Semaine_1[[#This Row],[Date]])</f>
        <v>S20</v>
      </c>
      <c r="P68" t="str">
        <f>TEXT(Semaine_1[[#This Row],[Date]],"MMMM")</f>
        <v>mai</v>
      </c>
    </row>
    <row r="69" spans="1:16" ht="28.15" x14ac:dyDescent="0.45">
      <c r="A69" s="8">
        <v>46156</v>
      </c>
      <c r="B69" s="9" t="s">
        <v>73</v>
      </c>
      <c r="C69" s="9" t="s">
        <v>31</v>
      </c>
      <c r="D69" s="9" t="s">
        <v>32</v>
      </c>
      <c r="E69" s="9" t="s">
        <v>134</v>
      </c>
      <c r="F69" s="10">
        <v>775411094</v>
      </c>
      <c r="G69" s="9" t="s">
        <v>15</v>
      </c>
      <c r="H69" s="9" t="s">
        <v>13</v>
      </c>
      <c r="I69" s="9" t="s">
        <v>16</v>
      </c>
      <c r="J69" s="9" t="s">
        <v>20</v>
      </c>
      <c r="K69" s="9" t="s">
        <v>62</v>
      </c>
      <c r="L69" s="9">
        <v>100</v>
      </c>
      <c r="M69" s="11">
        <v>9000</v>
      </c>
      <c r="N69" s="11">
        <v>900000</v>
      </c>
      <c r="O69" s="7" t="str">
        <f>"S"&amp;_xlfn.ISOWEEKNUM(Semaine_1[[#This Row],[Date]])</f>
        <v>S20</v>
      </c>
      <c r="P69" t="str">
        <f>TEXT(Semaine_1[[#This Row],[Date]],"MMMM")</f>
        <v>mai</v>
      </c>
    </row>
    <row r="70" spans="1:16" ht="28.15" x14ac:dyDescent="0.45">
      <c r="A70" s="8">
        <v>46156</v>
      </c>
      <c r="B70" s="9" t="s">
        <v>73</v>
      </c>
      <c r="C70" s="9" t="s">
        <v>31</v>
      </c>
      <c r="D70" s="9" t="s">
        <v>32</v>
      </c>
      <c r="E70" s="9" t="s">
        <v>135</v>
      </c>
      <c r="F70" s="10">
        <v>775264622</v>
      </c>
      <c r="G70" s="9" t="s">
        <v>15</v>
      </c>
      <c r="H70" s="9" t="s">
        <v>13</v>
      </c>
      <c r="I70" s="9" t="s">
        <v>16</v>
      </c>
      <c r="J70" s="9" t="s">
        <v>20</v>
      </c>
      <c r="K70" s="9" t="s">
        <v>30</v>
      </c>
      <c r="L70" s="9">
        <v>25</v>
      </c>
      <c r="M70" s="11">
        <v>26000</v>
      </c>
      <c r="N70" s="11">
        <v>650000</v>
      </c>
      <c r="O70" s="7" t="str">
        <f>"S"&amp;_xlfn.ISOWEEKNUM(Semaine_1[[#This Row],[Date]])</f>
        <v>S20</v>
      </c>
      <c r="P70" t="str">
        <f>TEXT(Semaine_1[[#This Row],[Date]],"MMMM")</f>
        <v>mai</v>
      </c>
    </row>
    <row r="71" spans="1:16" x14ac:dyDescent="0.45">
      <c r="A71" s="8">
        <v>46155</v>
      </c>
      <c r="B71" s="9" t="s">
        <v>71</v>
      </c>
      <c r="C71" s="9" t="s">
        <v>25</v>
      </c>
      <c r="D71" s="9" t="s">
        <v>136</v>
      </c>
      <c r="E71" s="9" t="s">
        <v>137</v>
      </c>
      <c r="F71" s="10">
        <v>775987400</v>
      </c>
      <c r="G71" s="9" t="s">
        <v>24</v>
      </c>
      <c r="H71" s="9" t="s">
        <v>13</v>
      </c>
      <c r="I71" s="9" t="s">
        <v>16</v>
      </c>
      <c r="J71" s="9" t="s">
        <v>26</v>
      </c>
      <c r="K71" s="9" t="s">
        <v>62</v>
      </c>
      <c r="L71" s="9">
        <v>2</v>
      </c>
      <c r="M71" s="11">
        <v>9000</v>
      </c>
      <c r="N71" s="11">
        <v>18000</v>
      </c>
      <c r="O71" s="7" t="str">
        <f>"S"&amp;_xlfn.ISOWEEKNUM(Semaine_1[[#This Row],[Date]])</f>
        <v>S20</v>
      </c>
      <c r="P71" t="str">
        <f>TEXT(Semaine_1[[#This Row],[Date]],"MMMM")</f>
        <v>mai</v>
      </c>
    </row>
    <row r="72" spans="1:16" x14ac:dyDescent="0.45">
      <c r="A72" s="8">
        <v>46155</v>
      </c>
      <c r="B72" s="9" t="s">
        <v>71</v>
      </c>
      <c r="C72" s="9" t="s">
        <v>25</v>
      </c>
      <c r="D72" s="9" t="s">
        <v>136</v>
      </c>
      <c r="E72" s="9" t="s">
        <v>137</v>
      </c>
      <c r="F72" s="10">
        <v>775987400</v>
      </c>
      <c r="G72" s="9" t="s">
        <v>24</v>
      </c>
      <c r="H72" s="9" t="s">
        <v>13</v>
      </c>
      <c r="I72" s="9" t="s">
        <v>16</v>
      </c>
      <c r="J72" s="9" t="s">
        <v>26</v>
      </c>
      <c r="K72" s="9" t="s">
        <v>56</v>
      </c>
      <c r="L72" s="9">
        <v>4</v>
      </c>
      <c r="M72" s="11">
        <v>19500</v>
      </c>
      <c r="N72" s="11">
        <v>78000</v>
      </c>
      <c r="O72" s="7" t="str">
        <f>"S"&amp;_xlfn.ISOWEEKNUM(Semaine_1[[#This Row],[Date]])</f>
        <v>S20</v>
      </c>
      <c r="P72" t="str">
        <f>TEXT(Semaine_1[[#This Row],[Date]],"MMMM")</f>
        <v>mai</v>
      </c>
    </row>
    <row r="73" spans="1:16" x14ac:dyDescent="0.45">
      <c r="A73" s="8">
        <v>46155</v>
      </c>
      <c r="B73" s="9" t="s">
        <v>71</v>
      </c>
      <c r="C73" s="9" t="s">
        <v>25</v>
      </c>
      <c r="D73" s="9" t="s">
        <v>136</v>
      </c>
      <c r="E73" s="9" t="s">
        <v>138</v>
      </c>
      <c r="F73" s="10">
        <v>775426848</v>
      </c>
      <c r="G73" s="9" t="s">
        <v>24</v>
      </c>
      <c r="H73" s="9" t="s">
        <v>13</v>
      </c>
      <c r="I73" s="9" t="s">
        <v>16</v>
      </c>
      <c r="J73" s="9" t="s">
        <v>26</v>
      </c>
      <c r="K73" s="9" t="s">
        <v>56</v>
      </c>
      <c r="L73" s="9">
        <v>8</v>
      </c>
      <c r="M73" s="11">
        <v>19500</v>
      </c>
      <c r="N73" s="11">
        <v>156000</v>
      </c>
      <c r="O73" s="7" t="str">
        <f>"S"&amp;_xlfn.ISOWEEKNUM(Semaine_1[[#This Row],[Date]])</f>
        <v>S20</v>
      </c>
      <c r="P73" t="str">
        <f>TEXT(Semaine_1[[#This Row],[Date]],"MMMM")</f>
        <v>mai</v>
      </c>
    </row>
    <row r="74" spans="1:16" x14ac:dyDescent="0.45">
      <c r="A74" s="8">
        <v>46155</v>
      </c>
      <c r="B74" s="9" t="s">
        <v>53</v>
      </c>
      <c r="C74" s="9" t="s">
        <v>39</v>
      </c>
      <c r="D74" s="9" t="s">
        <v>39</v>
      </c>
      <c r="E74" s="9" t="s">
        <v>139</v>
      </c>
      <c r="F74" s="10">
        <v>770712599</v>
      </c>
      <c r="G74" s="9" t="s">
        <v>15</v>
      </c>
      <c r="H74" s="9" t="s">
        <v>13</v>
      </c>
      <c r="I74" s="9" t="s">
        <v>16</v>
      </c>
      <c r="J74" s="9" t="s">
        <v>140</v>
      </c>
      <c r="K74" s="9" t="s">
        <v>30</v>
      </c>
      <c r="L74" s="9">
        <v>100</v>
      </c>
      <c r="M74" s="11">
        <v>26000</v>
      </c>
      <c r="N74" s="11">
        <v>2600000</v>
      </c>
      <c r="O74" s="7" t="str">
        <f>"S"&amp;_xlfn.ISOWEEKNUM(Semaine_1[[#This Row],[Date]])</f>
        <v>S20</v>
      </c>
      <c r="P74" t="str">
        <f>TEXT(Semaine_1[[#This Row],[Date]],"MMMM")</f>
        <v>mai</v>
      </c>
    </row>
    <row r="75" spans="1:16" x14ac:dyDescent="0.45">
      <c r="A75" s="8">
        <v>46154</v>
      </c>
      <c r="B75" s="9" t="s">
        <v>71</v>
      </c>
      <c r="C75" s="9" t="s">
        <v>25</v>
      </c>
      <c r="D75" s="9" t="s">
        <v>28</v>
      </c>
      <c r="E75" s="9" t="s">
        <v>58</v>
      </c>
      <c r="F75" s="10">
        <v>776634479</v>
      </c>
      <c r="G75" s="9" t="s">
        <v>15</v>
      </c>
      <c r="H75" s="9" t="s">
        <v>13</v>
      </c>
      <c r="I75" s="9" t="s">
        <v>16</v>
      </c>
      <c r="J75" s="9" t="s">
        <v>141</v>
      </c>
      <c r="K75" s="9" t="s">
        <v>56</v>
      </c>
      <c r="L75" s="9">
        <v>3</v>
      </c>
      <c r="M75" s="11">
        <v>19500</v>
      </c>
      <c r="N75" s="11">
        <v>58500</v>
      </c>
      <c r="O75" s="7" t="str">
        <f>"S"&amp;_xlfn.ISOWEEKNUM(Semaine_1[[#This Row],[Date]])</f>
        <v>S20</v>
      </c>
      <c r="P75" t="str">
        <f>TEXT(Semaine_1[[#This Row],[Date]],"MMMM")</f>
        <v>mai</v>
      </c>
    </row>
    <row r="76" spans="1:16" ht="28.15" x14ac:dyDescent="0.45">
      <c r="A76" s="8">
        <v>46154</v>
      </c>
      <c r="B76" s="9" t="s">
        <v>70</v>
      </c>
      <c r="C76" s="9" t="s">
        <v>14</v>
      </c>
      <c r="D76" s="9" t="s">
        <v>36</v>
      </c>
      <c r="E76" s="9" t="s">
        <v>142</v>
      </c>
      <c r="F76" s="10">
        <v>778195274</v>
      </c>
      <c r="G76" s="9" t="s">
        <v>15</v>
      </c>
      <c r="H76" s="9" t="s">
        <v>13</v>
      </c>
      <c r="I76" s="9" t="s">
        <v>16</v>
      </c>
      <c r="J76" s="9" t="s">
        <v>38</v>
      </c>
      <c r="K76" s="9" t="s">
        <v>30</v>
      </c>
      <c r="L76" s="9">
        <v>100</v>
      </c>
      <c r="M76" s="11">
        <v>26000</v>
      </c>
      <c r="N76" s="11">
        <v>2600000</v>
      </c>
      <c r="O76" s="7" t="str">
        <f>"S"&amp;_xlfn.ISOWEEKNUM(Semaine_1[[#This Row],[Date]])</f>
        <v>S20</v>
      </c>
      <c r="P76" t="str">
        <f>TEXT(Semaine_1[[#This Row],[Date]],"MMMM")</f>
        <v>mai</v>
      </c>
    </row>
    <row r="77" spans="1:16" x14ac:dyDescent="0.45">
      <c r="A77" s="8">
        <v>46154</v>
      </c>
      <c r="B77" s="9" t="s">
        <v>71</v>
      </c>
      <c r="C77" s="9" t="s">
        <v>25</v>
      </c>
      <c r="D77" s="9" t="s">
        <v>28</v>
      </c>
      <c r="E77" s="9" t="s">
        <v>143</v>
      </c>
      <c r="F77" s="10">
        <v>773564759</v>
      </c>
      <c r="G77" s="9" t="s">
        <v>15</v>
      </c>
      <c r="H77" s="9" t="s">
        <v>13</v>
      </c>
      <c r="I77" s="9" t="s">
        <v>16</v>
      </c>
      <c r="J77" s="9" t="s">
        <v>144</v>
      </c>
      <c r="K77" s="9" t="s">
        <v>56</v>
      </c>
      <c r="L77" s="9">
        <v>10</v>
      </c>
      <c r="M77" s="11">
        <v>19500</v>
      </c>
      <c r="N77" s="11">
        <v>195000</v>
      </c>
      <c r="O77" s="7" t="str">
        <f>"S"&amp;_xlfn.ISOWEEKNUM(Semaine_1[[#This Row],[Date]])</f>
        <v>S20</v>
      </c>
      <c r="P77" t="str">
        <f>TEXT(Semaine_1[[#This Row],[Date]],"MMMM")</f>
        <v>mai</v>
      </c>
    </row>
    <row r="78" spans="1:16" ht="28.15" x14ac:dyDescent="0.45">
      <c r="A78" s="8">
        <v>46154</v>
      </c>
      <c r="B78" s="9" t="s">
        <v>71</v>
      </c>
      <c r="C78" s="9" t="s">
        <v>25</v>
      </c>
      <c r="D78" s="9" t="s">
        <v>28</v>
      </c>
      <c r="E78" s="9" t="s">
        <v>58</v>
      </c>
      <c r="F78" s="10">
        <v>776634479</v>
      </c>
      <c r="G78" s="9" t="s">
        <v>15</v>
      </c>
      <c r="H78" s="9" t="s">
        <v>13</v>
      </c>
      <c r="I78" s="9" t="s">
        <v>16</v>
      </c>
      <c r="J78" s="9" t="s">
        <v>141</v>
      </c>
      <c r="K78" s="9" t="s">
        <v>145</v>
      </c>
      <c r="L78" s="9">
        <v>1</v>
      </c>
      <c r="M78" s="11">
        <v>15000</v>
      </c>
      <c r="N78" s="11">
        <v>15000</v>
      </c>
      <c r="O78" s="7" t="str">
        <f>"S"&amp;_xlfn.ISOWEEKNUM(Semaine_1[[#This Row],[Date]])</f>
        <v>S20</v>
      </c>
      <c r="P78" t="str">
        <f>TEXT(Semaine_1[[#This Row],[Date]],"MMMM")</f>
        <v>mai</v>
      </c>
    </row>
    <row r="79" spans="1:16" ht="28.15" x14ac:dyDescent="0.45">
      <c r="A79" s="8">
        <v>46153</v>
      </c>
      <c r="B79" s="9" t="s">
        <v>70</v>
      </c>
      <c r="C79" s="9" t="s">
        <v>14</v>
      </c>
      <c r="D79" s="9" t="s">
        <v>146</v>
      </c>
      <c r="E79" s="9" t="s">
        <v>147</v>
      </c>
      <c r="F79" s="10">
        <v>785459209</v>
      </c>
      <c r="G79" s="9" t="s">
        <v>15</v>
      </c>
      <c r="H79" s="9" t="s">
        <v>13</v>
      </c>
      <c r="I79" s="9" t="s">
        <v>16</v>
      </c>
      <c r="J79" s="9" t="s">
        <v>38</v>
      </c>
      <c r="K79" s="9" t="s">
        <v>30</v>
      </c>
      <c r="L79" s="9">
        <v>25</v>
      </c>
      <c r="M79" s="11">
        <v>26000</v>
      </c>
      <c r="N79" s="11">
        <v>650000</v>
      </c>
      <c r="O79" s="7" t="str">
        <f>"S"&amp;_xlfn.ISOWEEKNUM(Semaine_1[[#This Row],[Date]])</f>
        <v>S20</v>
      </c>
      <c r="P79" t="str">
        <f>TEXT(Semaine_1[[#This Row],[Date]],"MMMM")</f>
        <v>mai</v>
      </c>
    </row>
    <row r="80" spans="1:16" ht="28.15" x14ac:dyDescent="0.45">
      <c r="A80" s="8">
        <v>46153</v>
      </c>
      <c r="B80" s="9" t="s">
        <v>73</v>
      </c>
      <c r="C80" s="9" t="s">
        <v>31</v>
      </c>
      <c r="D80" s="9" t="s">
        <v>32</v>
      </c>
      <c r="E80" s="9" t="s">
        <v>46</v>
      </c>
      <c r="F80" s="10">
        <v>776428218</v>
      </c>
      <c r="G80" s="9" t="s">
        <v>24</v>
      </c>
      <c r="H80" s="9" t="s">
        <v>13</v>
      </c>
      <c r="I80" s="9" t="s">
        <v>16</v>
      </c>
      <c r="J80" s="9" t="s">
        <v>20</v>
      </c>
      <c r="K80" s="9" t="s">
        <v>27</v>
      </c>
      <c r="L80" s="9">
        <v>778</v>
      </c>
      <c r="M80" s="11">
        <v>7500</v>
      </c>
      <c r="N80" s="11">
        <v>5835000</v>
      </c>
      <c r="O80" s="7" t="str">
        <f>"S"&amp;_xlfn.ISOWEEKNUM(Semaine_1[[#This Row],[Date]])</f>
        <v>S20</v>
      </c>
      <c r="P80" t="str">
        <f>TEXT(Semaine_1[[#This Row],[Date]],"MMMM")</f>
        <v>mai</v>
      </c>
    </row>
    <row r="81" spans="1:16" ht="28.15" x14ac:dyDescent="0.45">
      <c r="A81" s="8">
        <v>46153</v>
      </c>
      <c r="B81" s="9" t="s">
        <v>73</v>
      </c>
      <c r="C81" s="9" t="s">
        <v>31</v>
      </c>
      <c r="D81" s="9" t="s">
        <v>32</v>
      </c>
      <c r="E81" s="9" t="s">
        <v>46</v>
      </c>
      <c r="F81" s="10">
        <v>776428218</v>
      </c>
      <c r="G81" s="9" t="s">
        <v>24</v>
      </c>
      <c r="H81" s="9" t="s">
        <v>13</v>
      </c>
      <c r="I81" s="9" t="s">
        <v>16</v>
      </c>
      <c r="J81" s="9" t="s">
        <v>20</v>
      </c>
      <c r="K81" s="9" t="s">
        <v>35</v>
      </c>
      <c r="L81" s="9">
        <v>25</v>
      </c>
      <c r="M81" s="11">
        <v>8750</v>
      </c>
      <c r="N81" s="11">
        <v>218750</v>
      </c>
      <c r="O81" s="7" t="str">
        <f>"S"&amp;_xlfn.ISOWEEKNUM(Semaine_1[[#This Row],[Date]])</f>
        <v>S20</v>
      </c>
      <c r="P81" t="str">
        <f>TEXT(Semaine_1[[#This Row],[Date]],"MMMM")</f>
        <v>mai</v>
      </c>
    </row>
    <row r="82" spans="1:16" ht="28.15" x14ac:dyDescent="0.45">
      <c r="A82" s="8">
        <v>46158</v>
      </c>
      <c r="B82" s="9" t="s">
        <v>72</v>
      </c>
      <c r="C82" s="9" t="s">
        <v>23</v>
      </c>
      <c r="D82" s="9" t="s">
        <v>41</v>
      </c>
      <c r="E82" s="9" t="s">
        <v>148</v>
      </c>
      <c r="F82" s="10">
        <v>778657940</v>
      </c>
      <c r="G82" s="9" t="s">
        <v>15</v>
      </c>
      <c r="H82" s="9" t="s">
        <v>13</v>
      </c>
      <c r="I82" s="9" t="s">
        <v>16</v>
      </c>
      <c r="J82" s="9" t="s">
        <v>149</v>
      </c>
      <c r="K82" s="9"/>
      <c r="L82" s="9"/>
      <c r="M82" s="11"/>
      <c r="N82" s="11"/>
      <c r="O82" s="7" t="str">
        <f>"S"&amp;_xlfn.ISOWEEKNUM(Semaine_1[[#This Row],[Date]])</f>
        <v>S20</v>
      </c>
      <c r="P82" t="str">
        <f>TEXT(Semaine_1[[#This Row],[Date]],"MMMM")</f>
        <v>mai</v>
      </c>
    </row>
    <row r="83" spans="1:16" ht="28.15" x14ac:dyDescent="0.45">
      <c r="A83" s="12">
        <v>46162</v>
      </c>
      <c r="B83" s="13" t="s">
        <v>76</v>
      </c>
      <c r="C83" s="13" t="s">
        <v>66</v>
      </c>
      <c r="D83" s="13" t="s">
        <v>79</v>
      </c>
      <c r="E83" s="13" t="s">
        <v>47</v>
      </c>
      <c r="F83" s="13">
        <v>779235028</v>
      </c>
      <c r="G83" s="13" t="s">
        <v>15</v>
      </c>
      <c r="H83" s="13" t="s">
        <v>13</v>
      </c>
      <c r="I83" s="13" t="s">
        <v>16</v>
      </c>
      <c r="J83" s="13" t="s">
        <v>150</v>
      </c>
      <c r="K83" s="13" t="s">
        <v>30</v>
      </c>
      <c r="L83" s="13">
        <v>33</v>
      </c>
      <c r="M83" s="14">
        <v>26000</v>
      </c>
      <c r="N83" s="14">
        <v>858000</v>
      </c>
      <c r="O83" s="15" t="str">
        <f>"S"&amp;_xlfn.ISOWEEKNUM(Semaine_1[[#This Row],[Date]])</f>
        <v>S21</v>
      </c>
      <c r="P83" s="16" t="str">
        <f>TEXT(Semaine_1[[#This Row],[Date]],"MMMM")</f>
        <v>mai</v>
      </c>
    </row>
    <row r="84" spans="1:16" ht="28.15" x14ac:dyDescent="0.45">
      <c r="A84" s="12">
        <v>46162</v>
      </c>
      <c r="B84" s="13" t="s">
        <v>53</v>
      </c>
      <c r="C84" s="13" t="s">
        <v>39</v>
      </c>
      <c r="D84" s="13" t="s">
        <v>90</v>
      </c>
      <c r="E84" s="13" t="s">
        <v>151</v>
      </c>
      <c r="F84" s="13">
        <v>770217868</v>
      </c>
      <c r="G84" s="13" t="s">
        <v>15</v>
      </c>
      <c r="H84" s="13" t="s">
        <v>13</v>
      </c>
      <c r="I84" s="13" t="s">
        <v>16</v>
      </c>
      <c r="J84" s="13" t="s">
        <v>152</v>
      </c>
      <c r="K84" s="13" t="s">
        <v>30</v>
      </c>
      <c r="L84" s="13">
        <v>25</v>
      </c>
      <c r="M84" s="14">
        <v>26000</v>
      </c>
      <c r="N84" s="14">
        <v>650000</v>
      </c>
      <c r="O84" s="15" t="str">
        <f>"S"&amp;_xlfn.ISOWEEKNUM(Semaine_1[[#This Row],[Date]])</f>
        <v>S21</v>
      </c>
      <c r="P84" s="16" t="str">
        <f>TEXT(Semaine_1[[#This Row],[Date]],"MMMM")</f>
        <v>mai</v>
      </c>
    </row>
    <row r="85" spans="1:16" x14ac:dyDescent="0.45">
      <c r="A85" s="12">
        <v>46162</v>
      </c>
      <c r="B85" s="13" t="s">
        <v>53</v>
      </c>
      <c r="C85" s="13" t="s">
        <v>39</v>
      </c>
      <c r="D85" s="13" t="s">
        <v>44</v>
      </c>
      <c r="E85" s="13" t="s">
        <v>153</v>
      </c>
      <c r="F85" s="13">
        <v>774289051</v>
      </c>
      <c r="G85" s="13" t="s">
        <v>15</v>
      </c>
      <c r="H85" s="13" t="s">
        <v>13</v>
      </c>
      <c r="I85" s="13" t="s">
        <v>16</v>
      </c>
      <c r="J85" s="13" t="s">
        <v>89</v>
      </c>
      <c r="K85" s="13" t="s">
        <v>30</v>
      </c>
      <c r="L85" s="13">
        <v>25</v>
      </c>
      <c r="M85" s="14">
        <v>26000</v>
      </c>
      <c r="N85" s="14">
        <v>650000</v>
      </c>
      <c r="O85" s="15" t="str">
        <f>"S"&amp;_xlfn.ISOWEEKNUM(Semaine_1[[#This Row],[Date]])</f>
        <v>S21</v>
      </c>
      <c r="P85" s="16" t="str">
        <f>TEXT(Semaine_1[[#This Row],[Date]],"MMMM")</f>
        <v>mai</v>
      </c>
    </row>
    <row r="86" spans="1:16" ht="28.15" x14ac:dyDescent="0.45">
      <c r="A86" s="12">
        <v>46162</v>
      </c>
      <c r="B86" s="13" t="s">
        <v>72</v>
      </c>
      <c r="C86" s="13" t="s">
        <v>23</v>
      </c>
      <c r="D86" s="13" t="s">
        <v>119</v>
      </c>
      <c r="E86" s="13" t="s">
        <v>154</v>
      </c>
      <c r="F86" s="13">
        <v>771701320</v>
      </c>
      <c r="G86" s="13" t="s">
        <v>15</v>
      </c>
      <c r="H86" s="13" t="s">
        <v>13</v>
      </c>
      <c r="I86" s="13" t="s">
        <v>16</v>
      </c>
      <c r="J86" s="13" t="s">
        <v>45</v>
      </c>
      <c r="K86" s="13" t="s">
        <v>27</v>
      </c>
      <c r="L86" s="13">
        <v>25</v>
      </c>
      <c r="M86" s="14">
        <v>9000</v>
      </c>
      <c r="N86" s="14">
        <v>225000</v>
      </c>
      <c r="O86" s="15" t="str">
        <f>"S"&amp;_xlfn.ISOWEEKNUM(Semaine_1[[#This Row],[Date]])</f>
        <v>S21</v>
      </c>
      <c r="P86" s="16" t="str">
        <f>TEXT(Semaine_1[[#This Row],[Date]],"MMMM")</f>
        <v>mai</v>
      </c>
    </row>
    <row r="87" spans="1:16" ht="28.15" x14ac:dyDescent="0.45">
      <c r="A87" s="12">
        <v>46162</v>
      </c>
      <c r="B87" s="13" t="s">
        <v>72</v>
      </c>
      <c r="C87" s="13" t="s">
        <v>23</v>
      </c>
      <c r="D87" s="13" t="s">
        <v>119</v>
      </c>
      <c r="E87" s="13" t="s">
        <v>154</v>
      </c>
      <c r="F87" s="13">
        <v>771701320</v>
      </c>
      <c r="G87" s="13" t="s">
        <v>15</v>
      </c>
      <c r="H87" s="13" t="s">
        <v>13</v>
      </c>
      <c r="I87" s="13" t="s">
        <v>16</v>
      </c>
      <c r="J87" s="13" t="s">
        <v>45</v>
      </c>
      <c r="K87" s="13" t="s">
        <v>62</v>
      </c>
      <c r="L87" s="13">
        <v>25</v>
      </c>
      <c r="M87" s="14">
        <v>9000</v>
      </c>
      <c r="N87" s="14">
        <v>225000</v>
      </c>
      <c r="O87" s="15" t="str">
        <f>"S"&amp;_xlfn.ISOWEEKNUM(Semaine_1[[#This Row],[Date]])</f>
        <v>S21</v>
      </c>
      <c r="P87" s="16" t="str">
        <f>TEXT(Semaine_1[[#This Row],[Date]],"MMMM")</f>
        <v>mai</v>
      </c>
    </row>
    <row r="88" spans="1:16" ht="28.15" x14ac:dyDescent="0.45">
      <c r="A88" s="12">
        <v>46162</v>
      </c>
      <c r="B88" s="13" t="s">
        <v>54</v>
      </c>
      <c r="C88" s="13" t="s">
        <v>21</v>
      </c>
      <c r="D88" s="13" t="s">
        <v>22</v>
      </c>
      <c r="E88" s="13" t="s">
        <v>155</v>
      </c>
      <c r="F88" s="13">
        <v>771619220</v>
      </c>
      <c r="G88" s="13" t="s">
        <v>15</v>
      </c>
      <c r="H88" s="13" t="s">
        <v>13</v>
      </c>
      <c r="I88" s="13" t="s">
        <v>16</v>
      </c>
      <c r="J88" s="13" t="s">
        <v>156</v>
      </c>
      <c r="K88" s="13" t="s">
        <v>30</v>
      </c>
      <c r="L88" s="13">
        <v>51</v>
      </c>
      <c r="M88" s="14">
        <v>26000</v>
      </c>
      <c r="N88" s="14">
        <v>1326000</v>
      </c>
      <c r="O88" s="15" t="str">
        <f>"S"&amp;_xlfn.ISOWEEKNUM(Semaine_1[[#This Row],[Date]])</f>
        <v>S21</v>
      </c>
      <c r="P88" s="16" t="str">
        <f>TEXT(Semaine_1[[#This Row],[Date]],"MMMM")</f>
        <v>mai</v>
      </c>
    </row>
    <row r="89" spans="1:16" ht="28.15" x14ac:dyDescent="0.45">
      <c r="A89" s="12">
        <v>46162</v>
      </c>
      <c r="B89" s="13" t="s">
        <v>76</v>
      </c>
      <c r="C89" s="13" t="s">
        <v>66</v>
      </c>
      <c r="D89" s="13" t="s">
        <v>157</v>
      </c>
      <c r="E89" s="13" t="s">
        <v>158</v>
      </c>
      <c r="F89" s="13">
        <v>784785900</v>
      </c>
      <c r="G89" s="13" t="s">
        <v>15</v>
      </c>
      <c r="H89" s="13" t="s">
        <v>13</v>
      </c>
      <c r="I89" s="13" t="s">
        <v>16</v>
      </c>
      <c r="J89" s="13" t="s">
        <v>150</v>
      </c>
      <c r="K89" s="13" t="s">
        <v>30</v>
      </c>
      <c r="L89" s="13">
        <v>100</v>
      </c>
      <c r="M89" s="14">
        <v>26000</v>
      </c>
      <c r="N89" s="14">
        <v>2600000</v>
      </c>
      <c r="O89" s="15" t="str">
        <f>"S"&amp;_xlfn.ISOWEEKNUM(Semaine_1[[#This Row],[Date]])</f>
        <v>S21</v>
      </c>
      <c r="P89" s="16" t="str">
        <f>TEXT(Semaine_1[[#This Row],[Date]],"MMMM")</f>
        <v>mai</v>
      </c>
    </row>
    <row r="90" spans="1:16" ht="28.15" x14ac:dyDescent="0.45">
      <c r="A90" s="12">
        <v>46162</v>
      </c>
      <c r="B90" s="13" t="s">
        <v>76</v>
      </c>
      <c r="C90" s="13" t="s">
        <v>66</v>
      </c>
      <c r="D90" s="13" t="s">
        <v>159</v>
      </c>
      <c r="E90" s="13" t="s">
        <v>160</v>
      </c>
      <c r="F90" s="13">
        <v>779110400</v>
      </c>
      <c r="G90" s="13" t="s">
        <v>15</v>
      </c>
      <c r="H90" s="13" t="s">
        <v>13</v>
      </c>
      <c r="I90" s="13" t="s">
        <v>16</v>
      </c>
      <c r="J90" s="13" t="s">
        <v>150</v>
      </c>
      <c r="K90" s="13" t="s">
        <v>30</v>
      </c>
      <c r="L90" s="13">
        <v>34</v>
      </c>
      <c r="M90" s="14">
        <v>26000</v>
      </c>
      <c r="N90" s="14">
        <v>884000</v>
      </c>
      <c r="O90" s="15" t="str">
        <f>"S"&amp;_xlfn.ISOWEEKNUM(Semaine_1[[#This Row],[Date]])</f>
        <v>S21</v>
      </c>
      <c r="P90" s="16" t="str">
        <f>TEXT(Semaine_1[[#This Row],[Date]],"MMMM")</f>
        <v>mai</v>
      </c>
    </row>
    <row r="91" spans="1:16" ht="28.15" x14ac:dyDescent="0.45">
      <c r="A91" s="12">
        <v>46162</v>
      </c>
      <c r="B91" s="13" t="s">
        <v>76</v>
      </c>
      <c r="C91" s="13" t="s">
        <v>66</v>
      </c>
      <c r="D91" s="13" t="s">
        <v>130</v>
      </c>
      <c r="E91" s="13" t="s">
        <v>161</v>
      </c>
      <c r="F91" s="13">
        <v>763357265</v>
      </c>
      <c r="G91" s="13" t="s">
        <v>15</v>
      </c>
      <c r="H91" s="13" t="s">
        <v>52</v>
      </c>
      <c r="I91" s="13" t="s">
        <v>16</v>
      </c>
      <c r="J91" s="13" t="s">
        <v>150</v>
      </c>
      <c r="K91" s="13" t="s">
        <v>30</v>
      </c>
      <c r="L91" s="13">
        <v>1</v>
      </c>
      <c r="M91" s="14">
        <v>26000</v>
      </c>
      <c r="N91" s="14">
        <v>26000</v>
      </c>
      <c r="O91" s="15" t="str">
        <f>"S"&amp;_xlfn.ISOWEEKNUM(Semaine_1[[#This Row],[Date]])</f>
        <v>S21</v>
      </c>
      <c r="P91" s="16" t="str">
        <f>TEXT(Semaine_1[[#This Row],[Date]],"MMMM")</f>
        <v>mai</v>
      </c>
    </row>
    <row r="92" spans="1:16" ht="28.15" x14ac:dyDescent="0.45">
      <c r="A92" s="12">
        <v>46162</v>
      </c>
      <c r="B92" s="13" t="s">
        <v>76</v>
      </c>
      <c r="C92" s="13" t="s">
        <v>66</v>
      </c>
      <c r="D92" s="13" t="s">
        <v>162</v>
      </c>
      <c r="E92" s="13" t="s">
        <v>163</v>
      </c>
      <c r="F92" s="13">
        <v>771155837</v>
      </c>
      <c r="G92" s="13" t="s">
        <v>15</v>
      </c>
      <c r="H92" s="13" t="s">
        <v>52</v>
      </c>
      <c r="I92" s="13" t="s">
        <v>16</v>
      </c>
      <c r="J92" s="13" t="s">
        <v>150</v>
      </c>
      <c r="K92" s="13" t="s">
        <v>30</v>
      </c>
      <c r="L92" s="13">
        <v>3</v>
      </c>
      <c r="M92" s="14">
        <v>26000</v>
      </c>
      <c r="N92" s="14">
        <v>78000</v>
      </c>
      <c r="O92" s="15" t="str">
        <f>"S"&amp;_xlfn.ISOWEEKNUM(Semaine_1[[#This Row],[Date]])</f>
        <v>S21</v>
      </c>
      <c r="P92" s="16" t="str">
        <f>TEXT(Semaine_1[[#This Row],[Date]],"MMMM")</f>
        <v>mai</v>
      </c>
    </row>
    <row r="93" spans="1:16" ht="28.15" x14ac:dyDescent="0.45">
      <c r="A93" s="12">
        <v>46162</v>
      </c>
      <c r="B93" s="13" t="s">
        <v>76</v>
      </c>
      <c r="C93" s="13" t="s">
        <v>66</v>
      </c>
      <c r="D93" s="13" t="s">
        <v>130</v>
      </c>
      <c r="E93" s="13" t="s">
        <v>164</v>
      </c>
      <c r="F93" s="13">
        <v>763030898</v>
      </c>
      <c r="G93" s="13" t="s">
        <v>15</v>
      </c>
      <c r="H93" s="13" t="s">
        <v>52</v>
      </c>
      <c r="I93" s="13" t="s">
        <v>16</v>
      </c>
      <c r="J93" s="13" t="s">
        <v>150</v>
      </c>
      <c r="K93" s="13" t="s">
        <v>30</v>
      </c>
      <c r="L93" s="13">
        <v>2</v>
      </c>
      <c r="M93" s="14">
        <v>26000</v>
      </c>
      <c r="N93" s="14">
        <v>52000</v>
      </c>
      <c r="O93" s="15" t="str">
        <f>"S"&amp;_xlfn.ISOWEEKNUM(Semaine_1[[#This Row],[Date]])</f>
        <v>S21</v>
      </c>
      <c r="P93" s="16" t="str">
        <f>TEXT(Semaine_1[[#This Row],[Date]],"MMMM")</f>
        <v>mai</v>
      </c>
    </row>
    <row r="94" spans="1:16" ht="28.15" x14ac:dyDescent="0.45">
      <c r="A94" s="12">
        <v>46162</v>
      </c>
      <c r="B94" s="13" t="s">
        <v>76</v>
      </c>
      <c r="C94" s="13" t="s">
        <v>66</v>
      </c>
      <c r="D94" s="13" t="s">
        <v>159</v>
      </c>
      <c r="E94" s="13" t="s">
        <v>165</v>
      </c>
      <c r="F94" s="13">
        <v>785852626</v>
      </c>
      <c r="G94" s="13" t="s">
        <v>15</v>
      </c>
      <c r="H94" s="13" t="s">
        <v>13</v>
      </c>
      <c r="I94" s="13" t="s">
        <v>16</v>
      </c>
      <c r="J94" s="13" t="s">
        <v>150</v>
      </c>
      <c r="K94" s="13" t="s">
        <v>30</v>
      </c>
      <c r="L94" s="13">
        <v>33</v>
      </c>
      <c r="M94" s="14">
        <v>26000</v>
      </c>
      <c r="N94" s="14">
        <v>858000</v>
      </c>
      <c r="O94" s="15" t="str">
        <f>"S"&amp;_xlfn.ISOWEEKNUM(Semaine_1[[#This Row],[Date]])</f>
        <v>S21</v>
      </c>
      <c r="P94" s="16" t="str">
        <f>TEXT(Semaine_1[[#This Row],[Date]],"MMMM")</f>
        <v>mai</v>
      </c>
    </row>
    <row r="95" spans="1:16" ht="28.15" x14ac:dyDescent="0.45">
      <c r="A95" s="12">
        <v>46161</v>
      </c>
      <c r="B95" s="13" t="s">
        <v>70</v>
      </c>
      <c r="C95" s="13" t="s">
        <v>14</v>
      </c>
      <c r="D95" s="13" t="s">
        <v>146</v>
      </c>
      <c r="E95" s="13" t="s">
        <v>60</v>
      </c>
      <c r="F95" s="13">
        <v>776874747</v>
      </c>
      <c r="G95" s="13" t="s">
        <v>15</v>
      </c>
      <c r="H95" s="13" t="s">
        <v>52</v>
      </c>
      <c r="I95" s="13" t="s">
        <v>16</v>
      </c>
      <c r="J95" s="13" t="s">
        <v>38</v>
      </c>
      <c r="K95" s="13" t="s">
        <v>62</v>
      </c>
      <c r="L95" s="13">
        <v>25</v>
      </c>
      <c r="M95" s="14">
        <v>9000</v>
      </c>
      <c r="N95" s="14">
        <v>225000</v>
      </c>
      <c r="O95" s="15" t="str">
        <f>"S"&amp;_xlfn.ISOWEEKNUM(Semaine_1[[#This Row],[Date]])</f>
        <v>S21</v>
      </c>
      <c r="P95" s="16" t="str">
        <f>TEXT(Semaine_1[[#This Row],[Date]],"MMMM")</f>
        <v>mai</v>
      </c>
    </row>
    <row r="96" spans="1:16" ht="28.15" x14ac:dyDescent="0.45">
      <c r="A96" s="12">
        <v>46161</v>
      </c>
      <c r="B96" s="13" t="s">
        <v>70</v>
      </c>
      <c r="C96" s="13" t="s">
        <v>14</v>
      </c>
      <c r="D96" s="13" t="s">
        <v>146</v>
      </c>
      <c r="E96" s="13" t="s">
        <v>166</v>
      </c>
      <c r="F96" s="13">
        <v>764883712</v>
      </c>
      <c r="G96" s="13" t="s">
        <v>167</v>
      </c>
      <c r="H96" s="13" t="s">
        <v>52</v>
      </c>
      <c r="I96" s="13" t="s">
        <v>16</v>
      </c>
      <c r="J96" s="13" t="s">
        <v>168</v>
      </c>
      <c r="K96" s="13" t="s">
        <v>62</v>
      </c>
      <c r="L96" s="13">
        <v>5</v>
      </c>
      <c r="M96" s="14">
        <v>9000</v>
      </c>
      <c r="N96" s="14">
        <v>45000</v>
      </c>
      <c r="O96" s="15" t="str">
        <f>"S"&amp;_xlfn.ISOWEEKNUM(Semaine_1[[#This Row],[Date]])</f>
        <v>S21</v>
      </c>
      <c r="P96" s="16" t="str">
        <f>TEXT(Semaine_1[[#This Row],[Date]],"MMMM")</f>
        <v>mai</v>
      </c>
    </row>
    <row r="97" spans="1:16" ht="28.15" x14ac:dyDescent="0.45">
      <c r="A97" s="12">
        <v>46161</v>
      </c>
      <c r="B97" s="13" t="s">
        <v>70</v>
      </c>
      <c r="C97" s="13" t="s">
        <v>14</v>
      </c>
      <c r="D97" s="13" t="s">
        <v>169</v>
      </c>
      <c r="E97" s="13" t="s">
        <v>170</v>
      </c>
      <c r="F97" s="13">
        <v>776347177</v>
      </c>
      <c r="G97" s="13" t="s">
        <v>15</v>
      </c>
      <c r="H97" s="13" t="s">
        <v>13</v>
      </c>
      <c r="I97" s="13" t="s">
        <v>16</v>
      </c>
      <c r="J97" s="13" t="s">
        <v>38</v>
      </c>
      <c r="K97" s="13" t="s">
        <v>30</v>
      </c>
      <c r="L97" s="13">
        <v>5</v>
      </c>
      <c r="M97" s="14">
        <v>26000</v>
      </c>
      <c r="N97" s="14">
        <v>130000</v>
      </c>
      <c r="O97" s="15" t="str">
        <f>"S"&amp;_xlfn.ISOWEEKNUM(Semaine_1[[#This Row],[Date]])</f>
        <v>S21</v>
      </c>
      <c r="P97" s="16" t="str">
        <f>TEXT(Semaine_1[[#This Row],[Date]],"MMMM")</f>
        <v>mai</v>
      </c>
    </row>
    <row r="98" spans="1:16" ht="28.15" x14ac:dyDescent="0.45">
      <c r="A98" s="12">
        <v>46161</v>
      </c>
      <c r="B98" s="13" t="s">
        <v>70</v>
      </c>
      <c r="C98" s="13" t="s">
        <v>14</v>
      </c>
      <c r="D98" s="13" t="s">
        <v>169</v>
      </c>
      <c r="E98" s="13" t="s">
        <v>170</v>
      </c>
      <c r="F98" s="13">
        <v>776347177</v>
      </c>
      <c r="G98" s="13" t="s">
        <v>15</v>
      </c>
      <c r="H98" s="13" t="s">
        <v>13</v>
      </c>
      <c r="I98" s="13" t="s">
        <v>16</v>
      </c>
      <c r="J98" s="13" t="s">
        <v>38</v>
      </c>
      <c r="K98" s="13" t="s">
        <v>171</v>
      </c>
      <c r="L98" s="13">
        <v>1</v>
      </c>
      <c r="M98" s="14">
        <v>33500</v>
      </c>
      <c r="N98" s="14">
        <v>33500</v>
      </c>
      <c r="O98" s="15" t="str">
        <f>"S"&amp;_xlfn.ISOWEEKNUM(Semaine_1[[#This Row],[Date]])</f>
        <v>S21</v>
      </c>
      <c r="P98" s="16" t="str">
        <f>TEXT(Semaine_1[[#This Row],[Date]],"MMMM")</f>
        <v>mai</v>
      </c>
    </row>
    <row r="99" spans="1:16" ht="28.15" x14ac:dyDescent="0.45">
      <c r="A99" s="12">
        <v>46161</v>
      </c>
      <c r="B99" s="13" t="s">
        <v>70</v>
      </c>
      <c r="C99" s="13" t="s">
        <v>14</v>
      </c>
      <c r="D99" s="13" t="s">
        <v>172</v>
      </c>
      <c r="E99" s="13" t="s">
        <v>173</v>
      </c>
      <c r="F99" s="13">
        <v>775623289</v>
      </c>
      <c r="G99" s="13" t="s">
        <v>15</v>
      </c>
      <c r="H99" s="13" t="s">
        <v>13</v>
      </c>
      <c r="I99" s="13" t="s">
        <v>16</v>
      </c>
      <c r="J99" s="13" t="s">
        <v>38</v>
      </c>
      <c r="K99" s="13" t="s">
        <v>30</v>
      </c>
      <c r="L99" s="13">
        <v>20</v>
      </c>
      <c r="M99" s="14">
        <v>26000</v>
      </c>
      <c r="N99" s="14">
        <v>520000</v>
      </c>
      <c r="O99" s="15" t="str">
        <f>"S"&amp;_xlfn.ISOWEEKNUM(Semaine_1[[#This Row],[Date]])</f>
        <v>S21</v>
      </c>
      <c r="P99" s="16" t="str">
        <f>TEXT(Semaine_1[[#This Row],[Date]],"MMMM")</f>
        <v>mai</v>
      </c>
    </row>
    <row r="100" spans="1:16" ht="28.15" x14ac:dyDescent="0.45">
      <c r="A100" s="12">
        <v>46161</v>
      </c>
      <c r="B100" s="13" t="s">
        <v>70</v>
      </c>
      <c r="C100" s="13" t="s">
        <v>14</v>
      </c>
      <c r="D100" s="13" t="s">
        <v>172</v>
      </c>
      <c r="E100" s="13" t="s">
        <v>173</v>
      </c>
      <c r="F100" s="13">
        <v>775623289</v>
      </c>
      <c r="G100" s="13" t="s">
        <v>15</v>
      </c>
      <c r="H100" s="13" t="s">
        <v>13</v>
      </c>
      <c r="I100" s="13" t="s">
        <v>16</v>
      </c>
      <c r="J100" s="13" t="s">
        <v>38</v>
      </c>
      <c r="K100" s="13" t="s">
        <v>56</v>
      </c>
      <c r="L100" s="13">
        <v>25</v>
      </c>
      <c r="M100" s="14">
        <v>19500</v>
      </c>
      <c r="N100" s="14">
        <v>487500</v>
      </c>
      <c r="O100" s="15" t="str">
        <f>"S"&amp;_xlfn.ISOWEEKNUM(Semaine_1[[#This Row],[Date]])</f>
        <v>S21</v>
      </c>
      <c r="P100" s="16" t="str">
        <f>TEXT(Semaine_1[[#This Row],[Date]],"MMMM")</f>
        <v>mai</v>
      </c>
    </row>
    <row r="101" spans="1:16" ht="28.15" x14ac:dyDescent="0.45">
      <c r="A101" s="12">
        <v>46160</v>
      </c>
      <c r="B101" s="13" t="s">
        <v>72</v>
      </c>
      <c r="C101" s="13" t="s">
        <v>23</v>
      </c>
      <c r="D101" s="13" t="s">
        <v>41</v>
      </c>
      <c r="E101" s="13" t="s">
        <v>174</v>
      </c>
      <c r="F101" s="13">
        <v>776536527</v>
      </c>
      <c r="G101" s="13" t="s">
        <v>15</v>
      </c>
      <c r="H101" s="13" t="s">
        <v>13</v>
      </c>
      <c r="I101" s="13" t="s">
        <v>16</v>
      </c>
      <c r="J101" s="13" t="s">
        <v>45</v>
      </c>
      <c r="K101" s="13" t="s">
        <v>27</v>
      </c>
      <c r="L101" s="13">
        <v>15</v>
      </c>
      <c r="M101" s="14">
        <v>9000</v>
      </c>
      <c r="N101" s="14">
        <v>135000</v>
      </c>
      <c r="O101" s="15" t="str">
        <f>"S"&amp;_xlfn.ISOWEEKNUM(Semaine_1[[#This Row],[Date]])</f>
        <v>S21</v>
      </c>
      <c r="P101" s="16" t="str">
        <f>TEXT(Semaine_1[[#This Row],[Date]],"MMMM")</f>
        <v>mai</v>
      </c>
    </row>
    <row r="102" spans="1:16" ht="28.15" x14ac:dyDescent="0.45">
      <c r="A102" s="12">
        <v>46160</v>
      </c>
      <c r="B102" s="13" t="s">
        <v>72</v>
      </c>
      <c r="C102" s="13" t="s">
        <v>23</v>
      </c>
      <c r="D102" s="13" t="s">
        <v>119</v>
      </c>
      <c r="E102" s="13" t="s">
        <v>175</v>
      </c>
      <c r="F102" s="13">
        <v>776175166</v>
      </c>
      <c r="G102" s="13" t="s">
        <v>15</v>
      </c>
      <c r="H102" s="13" t="s">
        <v>13</v>
      </c>
      <c r="I102" s="13" t="s">
        <v>16</v>
      </c>
      <c r="J102" s="13" t="s">
        <v>45</v>
      </c>
      <c r="K102" s="13" t="s">
        <v>30</v>
      </c>
      <c r="L102" s="13">
        <v>100</v>
      </c>
      <c r="M102" s="14">
        <v>26000</v>
      </c>
      <c r="N102" s="14">
        <v>2600000</v>
      </c>
      <c r="O102" s="15" t="str">
        <f>"S"&amp;_xlfn.ISOWEEKNUM(Semaine_1[[#This Row],[Date]])</f>
        <v>S21</v>
      </c>
      <c r="P102" s="16" t="str">
        <f>TEXT(Semaine_1[[#This Row],[Date]],"MMMM")</f>
        <v>mai</v>
      </c>
    </row>
    <row r="103" spans="1:16" ht="28.15" x14ac:dyDescent="0.45">
      <c r="A103" s="12">
        <v>46160</v>
      </c>
      <c r="B103" s="13" t="s">
        <v>72</v>
      </c>
      <c r="C103" s="13" t="s">
        <v>23</v>
      </c>
      <c r="D103" s="13" t="s">
        <v>41</v>
      </c>
      <c r="E103" s="13" t="s">
        <v>174</v>
      </c>
      <c r="F103" s="13">
        <v>776536527</v>
      </c>
      <c r="G103" s="13" t="s">
        <v>15</v>
      </c>
      <c r="H103" s="13" t="s">
        <v>13</v>
      </c>
      <c r="I103" s="13" t="s">
        <v>16</v>
      </c>
      <c r="J103" s="13" t="s">
        <v>45</v>
      </c>
      <c r="K103" s="13" t="s">
        <v>62</v>
      </c>
      <c r="L103" s="13">
        <v>15</v>
      </c>
      <c r="M103" s="14">
        <v>9000</v>
      </c>
      <c r="N103" s="14">
        <v>135000</v>
      </c>
      <c r="O103" s="15" t="str">
        <f>"S"&amp;_xlfn.ISOWEEKNUM(Semaine_1[[#This Row],[Date]])</f>
        <v>S21</v>
      </c>
      <c r="P103" s="16" t="str">
        <f>TEXT(Semaine_1[[#This Row],[Date]],"MMMM")</f>
        <v>mai</v>
      </c>
    </row>
    <row r="104" spans="1:16" ht="28.15" x14ac:dyDescent="0.45">
      <c r="A104" s="12">
        <v>46160</v>
      </c>
      <c r="B104" s="13" t="s">
        <v>54</v>
      </c>
      <c r="C104" s="13" t="s">
        <v>21</v>
      </c>
      <c r="D104" s="13" t="s">
        <v>22</v>
      </c>
      <c r="E104" s="13" t="s">
        <v>176</v>
      </c>
      <c r="F104" s="13">
        <v>772899294</v>
      </c>
      <c r="G104" s="13" t="s">
        <v>15</v>
      </c>
      <c r="H104" s="13" t="s">
        <v>13</v>
      </c>
      <c r="I104" s="13" t="s">
        <v>16</v>
      </c>
      <c r="J104" s="13" t="s">
        <v>156</v>
      </c>
      <c r="K104" s="13" t="s">
        <v>30</v>
      </c>
      <c r="L104" s="13">
        <v>25</v>
      </c>
      <c r="M104" s="14">
        <v>26000</v>
      </c>
      <c r="N104" s="14">
        <v>650000</v>
      </c>
      <c r="O104" s="15" t="str">
        <f>"S"&amp;_xlfn.ISOWEEKNUM(Semaine_1[[#This Row],[Date]])</f>
        <v>S21</v>
      </c>
      <c r="P104" s="16" t="str">
        <f>TEXT(Semaine_1[[#This Row],[Date]],"MMMM")</f>
        <v>mai</v>
      </c>
    </row>
    <row r="105" spans="1:16" ht="28.15" x14ac:dyDescent="0.45">
      <c r="A105" s="17">
        <v>46161</v>
      </c>
      <c r="B105" s="18" t="s">
        <v>54</v>
      </c>
      <c r="C105" s="18" t="s">
        <v>21</v>
      </c>
      <c r="D105" s="18" t="s">
        <v>177</v>
      </c>
      <c r="E105" s="18" t="s">
        <v>178</v>
      </c>
      <c r="F105" s="19">
        <v>774216339</v>
      </c>
      <c r="G105" s="18" t="s">
        <v>15</v>
      </c>
      <c r="H105" s="18" t="s">
        <v>13</v>
      </c>
      <c r="I105" s="18" t="s">
        <v>16</v>
      </c>
      <c r="J105" s="18" t="s">
        <v>156</v>
      </c>
      <c r="K105" s="18" t="s">
        <v>30</v>
      </c>
      <c r="L105" s="18">
        <v>25</v>
      </c>
      <c r="M105" s="20">
        <v>26000</v>
      </c>
      <c r="N105" s="21">
        <v>650000</v>
      </c>
      <c r="O105" s="22" t="str">
        <f>"S"&amp;_xlfn.ISOWEEKNUM(Semaine_1[[#This Row],[Date]])</f>
        <v>S21</v>
      </c>
      <c r="P105" s="23" t="str">
        <f>TEXT(Semaine_1[[#This Row],[Date]],"MMMM")</f>
        <v>mai</v>
      </c>
    </row>
    <row r="106" spans="1:16" ht="28.15" x14ac:dyDescent="0.45">
      <c r="A106" s="12">
        <v>46162</v>
      </c>
      <c r="B106" s="13" t="s">
        <v>54</v>
      </c>
      <c r="C106" s="13" t="s">
        <v>21</v>
      </c>
      <c r="D106" s="13" t="s">
        <v>22</v>
      </c>
      <c r="E106" s="13" t="s">
        <v>179</v>
      </c>
      <c r="F106" s="24">
        <v>775273147</v>
      </c>
      <c r="G106" s="13" t="s">
        <v>15</v>
      </c>
      <c r="H106" s="13" t="s">
        <v>13</v>
      </c>
      <c r="I106" s="13" t="s">
        <v>16</v>
      </c>
      <c r="J106" s="13" t="s">
        <v>20</v>
      </c>
      <c r="K106" s="13" t="s">
        <v>49</v>
      </c>
      <c r="L106" s="13">
        <v>100</v>
      </c>
      <c r="M106" s="14">
        <v>5750</v>
      </c>
      <c r="N106" s="14">
        <v>575000</v>
      </c>
      <c r="O106" s="15" t="str">
        <f>"S"&amp;_xlfn.ISOWEEKNUM(Semaine_1[[#This Row],[Date]])</f>
        <v>S21</v>
      </c>
      <c r="P106" s="16" t="str">
        <f>TEXT(Semaine_1[[#This Row],[Date]],"MMMM")</f>
        <v>mai</v>
      </c>
    </row>
    <row r="107" spans="1:16" x14ac:dyDescent="0.45">
      <c r="A107" s="12">
        <v>46165</v>
      </c>
      <c r="B107" s="13" t="s">
        <v>71</v>
      </c>
      <c r="C107" s="13" t="s">
        <v>25</v>
      </c>
      <c r="D107" s="13" t="s">
        <v>33</v>
      </c>
      <c r="E107" s="13" t="s">
        <v>180</v>
      </c>
      <c r="F107" s="24">
        <v>777096402</v>
      </c>
      <c r="G107" s="13" t="s">
        <v>15</v>
      </c>
      <c r="H107" s="13" t="s">
        <v>13</v>
      </c>
      <c r="I107" s="13" t="s">
        <v>16</v>
      </c>
      <c r="J107" s="13" t="s">
        <v>26</v>
      </c>
      <c r="K107" s="13" t="s">
        <v>62</v>
      </c>
      <c r="L107" s="13">
        <v>50</v>
      </c>
      <c r="M107" s="14">
        <v>9000</v>
      </c>
      <c r="N107" s="14">
        <v>450000</v>
      </c>
      <c r="O107" s="15" t="str">
        <f>"S"&amp;_xlfn.ISOWEEKNUM(Semaine_1[[#This Row],[Date]])</f>
        <v>S21</v>
      </c>
      <c r="P107" s="16" t="str">
        <f>TEXT(Semaine_1[[#This Row],[Date]],"MMMM")</f>
        <v>mai</v>
      </c>
    </row>
    <row r="108" spans="1:16" x14ac:dyDescent="0.45">
      <c r="A108" s="12">
        <v>46165</v>
      </c>
      <c r="B108" s="13" t="s">
        <v>71</v>
      </c>
      <c r="C108" s="13" t="s">
        <v>25</v>
      </c>
      <c r="D108" s="13" t="s">
        <v>28</v>
      </c>
      <c r="E108" s="13" t="s">
        <v>55</v>
      </c>
      <c r="F108" s="24">
        <v>775544532</v>
      </c>
      <c r="G108" s="13" t="s">
        <v>24</v>
      </c>
      <c r="H108" s="13" t="s">
        <v>13</v>
      </c>
      <c r="I108" s="13" t="s">
        <v>16</v>
      </c>
      <c r="J108" s="13" t="s">
        <v>26</v>
      </c>
      <c r="K108" s="13" t="s">
        <v>30</v>
      </c>
      <c r="L108" s="13">
        <v>25</v>
      </c>
      <c r="M108" s="14">
        <v>26000</v>
      </c>
      <c r="N108" s="14">
        <v>650000</v>
      </c>
      <c r="O108" s="15" t="str">
        <f>"S"&amp;_xlfn.ISOWEEKNUM(Semaine_1[[#This Row],[Date]])</f>
        <v>S21</v>
      </c>
      <c r="P108" s="16" t="str">
        <f>TEXT(Semaine_1[[#This Row],[Date]],"MMMM")</f>
        <v>mai</v>
      </c>
    </row>
    <row r="109" spans="1:16" x14ac:dyDescent="0.45">
      <c r="A109" s="12">
        <v>46165</v>
      </c>
      <c r="B109" s="13" t="s">
        <v>71</v>
      </c>
      <c r="C109" s="13" t="s">
        <v>25</v>
      </c>
      <c r="D109" s="13" t="s">
        <v>181</v>
      </c>
      <c r="E109" s="13" t="s">
        <v>137</v>
      </c>
      <c r="F109" s="24">
        <v>773739328</v>
      </c>
      <c r="G109" s="13" t="s">
        <v>24</v>
      </c>
      <c r="H109" s="13" t="s">
        <v>13</v>
      </c>
      <c r="I109" s="13" t="s">
        <v>16</v>
      </c>
      <c r="J109" s="13" t="s">
        <v>26</v>
      </c>
      <c r="K109" s="13" t="s">
        <v>62</v>
      </c>
      <c r="L109" s="13">
        <v>10</v>
      </c>
      <c r="M109" s="14">
        <v>9000</v>
      </c>
      <c r="N109" s="14">
        <v>90000</v>
      </c>
      <c r="O109" s="15" t="str">
        <f>"S"&amp;_xlfn.ISOWEEKNUM(Semaine_1[[#This Row],[Date]])</f>
        <v>S21</v>
      </c>
      <c r="P109" s="16" t="str">
        <f>TEXT(Semaine_1[[#This Row],[Date]],"MMMM")</f>
        <v>mai</v>
      </c>
    </row>
    <row r="110" spans="1:16" ht="28.15" x14ac:dyDescent="0.45">
      <c r="A110" s="12">
        <v>46164</v>
      </c>
      <c r="B110" s="13" t="s">
        <v>72</v>
      </c>
      <c r="C110" s="13" t="s">
        <v>23</v>
      </c>
      <c r="D110" s="13" t="s">
        <v>119</v>
      </c>
      <c r="E110" s="13" t="s">
        <v>182</v>
      </c>
      <c r="F110" s="24">
        <v>779414699</v>
      </c>
      <c r="G110" s="13" t="s">
        <v>24</v>
      </c>
      <c r="H110" s="13" t="s">
        <v>52</v>
      </c>
      <c r="I110" s="13" t="s">
        <v>16</v>
      </c>
      <c r="J110" s="13" t="s">
        <v>45</v>
      </c>
      <c r="K110" s="13" t="s">
        <v>62</v>
      </c>
      <c r="L110" s="13">
        <v>15</v>
      </c>
      <c r="M110" s="14">
        <v>9000</v>
      </c>
      <c r="N110" s="14">
        <v>135000</v>
      </c>
      <c r="O110" s="15" t="str">
        <f>"S"&amp;_xlfn.ISOWEEKNUM(Semaine_1[[#This Row],[Date]])</f>
        <v>S21</v>
      </c>
      <c r="P110" s="16" t="str">
        <f>TEXT(Semaine_1[[#This Row],[Date]],"MMMM")</f>
        <v>mai</v>
      </c>
    </row>
    <row r="111" spans="1:16" ht="28.15" x14ac:dyDescent="0.45">
      <c r="A111" s="12">
        <v>46164</v>
      </c>
      <c r="B111" s="13" t="s">
        <v>72</v>
      </c>
      <c r="C111" s="13" t="s">
        <v>23</v>
      </c>
      <c r="D111" s="13" t="s">
        <v>119</v>
      </c>
      <c r="E111" s="13" t="s">
        <v>182</v>
      </c>
      <c r="F111" s="24">
        <v>779414699</v>
      </c>
      <c r="G111" s="13" t="s">
        <v>24</v>
      </c>
      <c r="H111" s="13" t="s">
        <v>52</v>
      </c>
      <c r="I111" s="13" t="s">
        <v>16</v>
      </c>
      <c r="J111" s="13" t="s">
        <v>45</v>
      </c>
      <c r="K111" s="13" t="s">
        <v>27</v>
      </c>
      <c r="L111" s="13">
        <v>10</v>
      </c>
      <c r="M111" s="14">
        <v>9000</v>
      </c>
      <c r="N111" s="14">
        <v>90000</v>
      </c>
      <c r="O111" s="15" t="str">
        <f>"S"&amp;_xlfn.ISOWEEKNUM(Semaine_1[[#This Row],[Date]])</f>
        <v>S21</v>
      </c>
      <c r="P111" s="16" t="str">
        <f>TEXT(Semaine_1[[#This Row],[Date]],"MMMM")</f>
        <v>mai</v>
      </c>
    </row>
    <row r="112" spans="1:16" ht="28.15" x14ac:dyDescent="0.45">
      <c r="A112" s="12">
        <v>46164</v>
      </c>
      <c r="B112" s="13" t="s">
        <v>72</v>
      </c>
      <c r="C112" s="13" t="s">
        <v>23</v>
      </c>
      <c r="D112" s="13" t="s">
        <v>101</v>
      </c>
      <c r="E112" s="13" t="s">
        <v>154</v>
      </c>
      <c r="F112" s="24">
        <v>772252177</v>
      </c>
      <c r="G112" s="13" t="s">
        <v>24</v>
      </c>
      <c r="H112" s="13" t="s">
        <v>13</v>
      </c>
      <c r="I112" s="13" t="s">
        <v>16</v>
      </c>
      <c r="J112" s="13" t="s">
        <v>183</v>
      </c>
      <c r="K112" s="13" t="s">
        <v>30</v>
      </c>
      <c r="L112" s="13">
        <v>50</v>
      </c>
      <c r="M112" s="14">
        <v>26000</v>
      </c>
      <c r="N112" s="14">
        <v>1300000</v>
      </c>
      <c r="O112" s="15" t="str">
        <f>"S"&amp;_xlfn.ISOWEEKNUM(Semaine_1[[#This Row],[Date]])</f>
        <v>S21</v>
      </c>
      <c r="P112" s="16" t="str">
        <f>TEXT(Semaine_1[[#This Row],[Date]],"MMMM")</f>
        <v>mai</v>
      </c>
    </row>
    <row r="113" spans="1:16" ht="28.15" x14ac:dyDescent="0.45">
      <c r="A113" s="12">
        <v>46164</v>
      </c>
      <c r="B113" s="13" t="s">
        <v>76</v>
      </c>
      <c r="C113" s="13" t="s">
        <v>66</v>
      </c>
      <c r="D113" s="13" t="s">
        <v>184</v>
      </c>
      <c r="E113" s="13" t="s">
        <v>185</v>
      </c>
      <c r="F113" s="24">
        <v>775284696</v>
      </c>
      <c r="G113" s="13" t="s">
        <v>24</v>
      </c>
      <c r="H113" s="13" t="s">
        <v>13</v>
      </c>
      <c r="I113" s="13" t="s">
        <v>16</v>
      </c>
      <c r="J113" s="13" t="s">
        <v>150</v>
      </c>
      <c r="K113" s="13" t="s">
        <v>30</v>
      </c>
      <c r="L113" s="13">
        <v>50</v>
      </c>
      <c r="M113" s="14">
        <v>26000</v>
      </c>
      <c r="N113" s="14">
        <v>1300000</v>
      </c>
      <c r="O113" s="15" t="str">
        <f>"S"&amp;_xlfn.ISOWEEKNUM(Semaine_1[[#This Row],[Date]])</f>
        <v>S21</v>
      </c>
      <c r="P113" s="16" t="str">
        <f>TEXT(Semaine_1[[#This Row],[Date]],"MMMM")</f>
        <v>mai</v>
      </c>
    </row>
    <row r="114" spans="1:16" ht="28.15" x14ac:dyDescent="0.45">
      <c r="A114" s="12">
        <v>46164</v>
      </c>
      <c r="B114" s="13" t="s">
        <v>76</v>
      </c>
      <c r="C114" s="13" t="s">
        <v>66</v>
      </c>
      <c r="D114" s="13" t="s">
        <v>130</v>
      </c>
      <c r="E114" s="13" t="s">
        <v>131</v>
      </c>
      <c r="F114" s="24">
        <v>765956010</v>
      </c>
      <c r="G114" s="13" t="s">
        <v>15</v>
      </c>
      <c r="H114" s="13" t="s">
        <v>52</v>
      </c>
      <c r="I114" s="13" t="s">
        <v>16</v>
      </c>
      <c r="J114" s="13" t="s">
        <v>150</v>
      </c>
      <c r="K114" s="13" t="s">
        <v>27</v>
      </c>
      <c r="L114" s="13">
        <v>5</v>
      </c>
      <c r="M114" s="14">
        <v>9000</v>
      </c>
      <c r="N114" s="14">
        <v>45000</v>
      </c>
      <c r="O114" s="15" t="str">
        <f>"S"&amp;_xlfn.ISOWEEKNUM(Semaine_1[[#This Row],[Date]])</f>
        <v>S21</v>
      </c>
      <c r="P114" s="16" t="str">
        <f>TEXT(Semaine_1[[#This Row],[Date]],"MMMM")</f>
        <v>mai</v>
      </c>
    </row>
    <row r="115" spans="1:16" ht="28.15" x14ac:dyDescent="0.45">
      <c r="A115" s="12">
        <v>46164</v>
      </c>
      <c r="B115" s="13" t="s">
        <v>76</v>
      </c>
      <c r="C115" s="13" t="s">
        <v>66</v>
      </c>
      <c r="D115" s="13" t="s">
        <v>130</v>
      </c>
      <c r="E115" s="13" t="s">
        <v>131</v>
      </c>
      <c r="F115" s="24">
        <v>765956010</v>
      </c>
      <c r="G115" s="13" t="s">
        <v>15</v>
      </c>
      <c r="H115" s="13" t="s">
        <v>52</v>
      </c>
      <c r="I115" s="13" t="s">
        <v>16</v>
      </c>
      <c r="J115" s="13" t="s">
        <v>150</v>
      </c>
      <c r="K115" s="13" t="s">
        <v>62</v>
      </c>
      <c r="L115" s="13">
        <v>20</v>
      </c>
      <c r="M115" s="14">
        <v>9000</v>
      </c>
      <c r="N115" s="14">
        <v>180000</v>
      </c>
      <c r="O115" s="15" t="str">
        <f>"S"&amp;_xlfn.ISOWEEKNUM(Semaine_1[[#This Row],[Date]])</f>
        <v>S21</v>
      </c>
      <c r="P115" s="16" t="str">
        <f>TEXT(Semaine_1[[#This Row],[Date]],"MMMM")</f>
        <v>mai</v>
      </c>
    </row>
    <row r="116" spans="1:16" x14ac:dyDescent="0.45">
      <c r="A116" s="12">
        <v>46164</v>
      </c>
      <c r="B116" s="13" t="s">
        <v>71</v>
      </c>
      <c r="C116" s="13" t="s">
        <v>25</v>
      </c>
      <c r="D116" s="13" t="s">
        <v>33</v>
      </c>
      <c r="E116" s="13" t="s">
        <v>186</v>
      </c>
      <c r="F116" s="24">
        <v>775630094</v>
      </c>
      <c r="G116" s="13" t="s">
        <v>15</v>
      </c>
      <c r="H116" s="13" t="s">
        <v>13</v>
      </c>
      <c r="I116" s="13" t="s">
        <v>16</v>
      </c>
      <c r="J116" s="13" t="s">
        <v>26</v>
      </c>
      <c r="K116" s="13" t="s">
        <v>29</v>
      </c>
      <c r="L116" s="13">
        <v>25</v>
      </c>
      <c r="M116" s="14">
        <v>28000</v>
      </c>
      <c r="N116" s="14">
        <v>700000</v>
      </c>
      <c r="O116" s="15" t="str">
        <f>"S"&amp;_xlfn.ISOWEEKNUM(Semaine_1[[#This Row],[Date]])</f>
        <v>S21</v>
      </c>
      <c r="P116" s="16" t="str">
        <f>TEXT(Semaine_1[[#This Row],[Date]],"MMMM")</f>
        <v>mai</v>
      </c>
    </row>
    <row r="117" spans="1:16" x14ac:dyDescent="0.45">
      <c r="A117" s="12">
        <v>46164</v>
      </c>
      <c r="B117" s="13" t="s">
        <v>71</v>
      </c>
      <c r="C117" s="13" t="s">
        <v>25</v>
      </c>
      <c r="D117" s="13" t="s">
        <v>33</v>
      </c>
      <c r="E117" s="13" t="s">
        <v>187</v>
      </c>
      <c r="F117" s="24">
        <v>774483791</v>
      </c>
      <c r="G117" s="13" t="s">
        <v>15</v>
      </c>
      <c r="H117" s="13" t="s">
        <v>13</v>
      </c>
      <c r="I117" s="13" t="s">
        <v>16</v>
      </c>
      <c r="J117" s="13" t="s">
        <v>26</v>
      </c>
      <c r="K117" s="13" t="s">
        <v>29</v>
      </c>
      <c r="L117" s="13">
        <v>5</v>
      </c>
      <c r="M117" s="14">
        <v>28000</v>
      </c>
      <c r="N117" s="14">
        <v>140000</v>
      </c>
      <c r="O117" s="15" t="str">
        <f>"S"&amp;_xlfn.ISOWEEKNUM(Semaine_1[[#This Row],[Date]])</f>
        <v>S21</v>
      </c>
      <c r="P117" s="16" t="str">
        <f>TEXT(Semaine_1[[#This Row],[Date]],"MMMM")</f>
        <v>mai</v>
      </c>
    </row>
    <row r="118" spans="1:16" x14ac:dyDescent="0.45">
      <c r="A118" s="12">
        <v>46164</v>
      </c>
      <c r="B118" s="13" t="s">
        <v>71</v>
      </c>
      <c r="C118" s="13" t="s">
        <v>25</v>
      </c>
      <c r="D118" s="13" t="s">
        <v>33</v>
      </c>
      <c r="E118" s="13" t="s">
        <v>180</v>
      </c>
      <c r="F118" s="24">
        <v>777096402</v>
      </c>
      <c r="G118" s="13" t="s">
        <v>15</v>
      </c>
      <c r="H118" s="13" t="s">
        <v>13</v>
      </c>
      <c r="I118" s="13" t="s">
        <v>16</v>
      </c>
      <c r="J118" s="13" t="s">
        <v>26</v>
      </c>
      <c r="K118" s="13" t="s">
        <v>56</v>
      </c>
      <c r="L118" s="13">
        <v>25</v>
      </c>
      <c r="M118" s="14">
        <v>19500</v>
      </c>
      <c r="N118" s="14">
        <v>487500</v>
      </c>
      <c r="O118" s="15" t="str">
        <f>"S"&amp;_xlfn.ISOWEEKNUM(Semaine_1[[#This Row],[Date]])</f>
        <v>S21</v>
      </c>
      <c r="P118" s="16" t="str">
        <f>TEXT(Semaine_1[[#This Row],[Date]],"MMMM")</f>
        <v>mai</v>
      </c>
    </row>
    <row r="119" spans="1:16" x14ac:dyDescent="0.45">
      <c r="A119" s="12">
        <v>46163</v>
      </c>
      <c r="B119" s="13" t="s">
        <v>71</v>
      </c>
      <c r="C119" s="13" t="s">
        <v>25</v>
      </c>
      <c r="D119" s="13" t="s">
        <v>181</v>
      </c>
      <c r="E119" s="13" t="s">
        <v>188</v>
      </c>
      <c r="F119" s="24">
        <v>783740441</v>
      </c>
      <c r="G119" s="13" t="s">
        <v>15</v>
      </c>
      <c r="H119" s="13" t="s">
        <v>13</v>
      </c>
      <c r="I119" s="13" t="s">
        <v>16</v>
      </c>
      <c r="J119" s="13" t="s">
        <v>26</v>
      </c>
      <c r="K119" s="13" t="s">
        <v>62</v>
      </c>
      <c r="L119" s="13">
        <v>10</v>
      </c>
      <c r="M119" s="14">
        <v>9000</v>
      </c>
      <c r="N119" s="14">
        <v>90000</v>
      </c>
      <c r="O119" s="15" t="str">
        <f>"S"&amp;_xlfn.ISOWEEKNUM(Semaine_1[[#This Row],[Date]])</f>
        <v>S21</v>
      </c>
      <c r="P119" s="16" t="str">
        <f>TEXT(Semaine_1[[#This Row],[Date]],"MMMM")</f>
        <v>mai</v>
      </c>
    </row>
    <row r="120" spans="1:16" ht="28.15" x14ac:dyDescent="0.45">
      <c r="A120" s="12">
        <v>46163</v>
      </c>
      <c r="B120" s="13" t="s">
        <v>53</v>
      </c>
      <c r="C120" s="13" t="s">
        <v>39</v>
      </c>
      <c r="D120" s="13" t="s">
        <v>39</v>
      </c>
      <c r="E120" s="13" t="s">
        <v>139</v>
      </c>
      <c r="F120" s="24">
        <v>770712599</v>
      </c>
      <c r="G120" s="13" t="s">
        <v>15</v>
      </c>
      <c r="H120" s="13" t="s">
        <v>13</v>
      </c>
      <c r="I120" s="13" t="s">
        <v>16</v>
      </c>
      <c r="J120" s="13" t="s">
        <v>189</v>
      </c>
      <c r="K120" s="13" t="s">
        <v>190</v>
      </c>
      <c r="L120" s="13">
        <v>100</v>
      </c>
      <c r="M120" s="14">
        <v>26000</v>
      </c>
      <c r="N120" s="14">
        <v>2600000</v>
      </c>
      <c r="O120" s="15" t="str">
        <f>"S"&amp;_xlfn.ISOWEEKNUM(Semaine_1[[#This Row],[Date]])</f>
        <v>S21</v>
      </c>
      <c r="P120" s="16" t="str">
        <f>TEXT(Semaine_1[[#This Row],[Date]],"MMMM")</f>
        <v>mai</v>
      </c>
    </row>
    <row r="121" spans="1:16" ht="28.15" x14ac:dyDescent="0.45">
      <c r="A121" s="12">
        <v>46163</v>
      </c>
      <c r="B121" s="13" t="s">
        <v>54</v>
      </c>
      <c r="C121" s="13" t="s">
        <v>21</v>
      </c>
      <c r="D121" s="13" t="s">
        <v>177</v>
      </c>
      <c r="E121" s="13" t="s">
        <v>191</v>
      </c>
      <c r="F121" s="24">
        <v>774216341</v>
      </c>
      <c r="G121" s="13" t="s">
        <v>15</v>
      </c>
      <c r="H121" s="13" t="s">
        <v>13</v>
      </c>
      <c r="I121" s="13" t="s">
        <v>16</v>
      </c>
      <c r="J121" s="13" t="s">
        <v>20</v>
      </c>
      <c r="K121" s="13" t="s">
        <v>56</v>
      </c>
      <c r="L121" s="13">
        <v>5</v>
      </c>
      <c r="M121" s="14">
        <v>19500</v>
      </c>
      <c r="N121" s="14">
        <v>97500</v>
      </c>
      <c r="O121" s="15" t="str">
        <f>"S"&amp;_xlfn.ISOWEEKNUM(Semaine_1[[#This Row],[Date]])</f>
        <v>S21</v>
      </c>
      <c r="P121" s="16" t="str">
        <f>TEXT(Semaine_1[[#This Row],[Date]],"MMMM")</f>
        <v>mai</v>
      </c>
    </row>
    <row r="122" spans="1:16" ht="28.15" x14ac:dyDescent="0.45">
      <c r="A122" s="12">
        <v>46163</v>
      </c>
      <c r="B122" s="13" t="s">
        <v>53</v>
      </c>
      <c r="C122" s="13" t="s">
        <v>39</v>
      </c>
      <c r="D122" s="13" t="s">
        <v>90</v>
      </c>
      <c r="E122" s="13" t="s">
        <v>192</v>
      </c>
      <c r="F122" s="24">
        <v>775485563</v>
      </c>
      <c r="G122" s="13" t="s">
        <v>15</v>
      </c>
      <c r="H122" s="13" t="s">
        <v>13</v>
      </c>
      <c r="I122" s="13" t="s">
        <v>16</v>
      </c>
      <c r="J122" s="13" t="s">
        <v>193</v>
      </c>
      <c r="K122" s="13" t="s">
        <v>56</v>
      </c>
      <c r="L122" s="13">
        <v>10</v>
      </c>
      <c r="M122" s="14">
        <v>19500</v>
      </c>
      <c r="N122" s="14">
        <v>195000</v>
      </c>
      <c r="O122" s="15" t="str">
        <f>"S"&amp;_xlfn.ISOWEEKNUM(Semaine_1[[#This Row],[Date]])</f>
        <v>S21</v>
      </c>
      <c r="P122" s="16" t="str">
        <f>TEXT(Semaine_1[[#This Row],[Date]],"MMMM")</f>
        <v>mai</v>
      </c>
    </row>
    <row r="123" spans="1:16" x14ac:dyDescent="0.45">
      <c r="A123" s="12">
        <v>46163</v>
      </c>
      <c r="B123" s="13" t="s">
        <v>71</v>
      </c>
      <c r="C123" s="13" t="s">
        <v>25</v>
      </c>
      <c r="D123" s="13" t="s">
        <v>28</v>
      </c>
      <c r="E123" s="13" t="s">
        <v>55</v>
      </c>
      <c r="F123" s="24">
        <v>775544532</v>
      </c>
      <c r="G123" s="13" t="s">
        <v>24</v>
      </c>
      <c r="H123" s="13" t="s">
        <v>13</v>
      </c>
      <c r="I123" s="13" t="s">
        <v>16</v>
      </c>
      <c r="J123" s="13" t="s">
        <v>26</v>
      </c>
      <c r="K123" s="13" t="s">
        <v>30</v>
      </c>
      <c r="L123" s="13">
        <v>25</v>
      </c>
      <c r="M123" s="14">
        <v>26000</v>
      </c>
      <c r="N123" s="14">
        <v>650000</v>
      </c>
      <c r="O123" s="15" t="str">
        <f>"S"&amp;_xlfn.ISOWEEKNUM(Semaine_1[[#This Row],[Date]])</f>
        <v>S21</v>
      </c>
      <c r="P123" s="16" t="str">
        <f>TEXT(Semaine_1[[#This Row],[Date]],"MMMM")</f>
        <v>mai</v>
      </c>
    </row>
    <row r="124" spans="1:16" x14ac:dyDescent="0.45">
      <c r="A124" s="12">
        <v>46163</v>
      </c>
      <c r="B124" s="13" t="s">
        <v>71</v>
      </c>
      <c r="C124" s="13" t="s">
        <v>25</v>
      </c>
      <c r="D124" s="13" t="s">
        <v>28</v>
      </c>
      <c r="E124" s="13" t="s">
        <v>58</v>
      </c>
      <c r="F124" s="24">
        <v>776634479</v>
      </c>
      <c r="G124" s="13" t="s">
        <v>15</v>
      </c>
      <c r="H124" s="13" t="s">
        <v>13</v>
      </c>
      <c r="I124" s="13" t="s">
        <v>16</v>
      </c>
      <c r="J124" s="13" t="s">
        <v>144</v>
      </c>
      <c r="K124" s="13" t="s">
        <v>194</v>
      </c>
      <c r="L124" s="13">
        <v>8</v>
      </c>
      <c r="M124" s="14">
        <v>55000</v>
      </c>
      <c r="N124" s="14">
        <v>440000</v>
      </c>
      <c r="O124" s="15" t="str">
        <f>"S"&amp;_xlfn.ISOWEEKNUM(Semaine_1[[#This Row],[Date]])</f>
        <v>S21</v>
      </c>
      <c r="P124" s="16" t="str">
        <f>TEXT(Semaine_1[[#This Row],[Date]],"MMMM")</f>
        <v>mai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2026-05-24T19:25:20Z</dcterms:modified>
</cp:coreProperties>
</file>