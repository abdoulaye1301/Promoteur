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404D8395-2B83-4982-87F9-9FA612822B25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0" i="2" l="1"/>
  <c r="P60" i="2"/>
  <c r="O59" i="2"/>
  <c r="P59" i="2"/>
  <c r="O58" i="2"/>
  <c r="P58" i="2"/>
  <c r="O57" i="2"/>
  <c r="P57" i="2"/>
  <c r="O56" i="2"/>
  <c r="P56" i="2"/>
  <c r="O55" i="2"/>
  <c r="P55" i="2"/>
  <c r="O51" i="2"/>
  <c r="O52" i="2"/>
  <c r="O53" i="2"/>
  <c r="O54" i="2"/>
  <c r="P51" i="2"/>
  <c r="P52" i="2"/>
  <c r="P53" i="2"/>
  <c r="P54" i="2"/>
  <c r="O50" i="2"/>
  <c r="P50" i="2"/>
  <c r="O47" i="2"/>
  <c r="O48" i="2"/>
  <c r="O49" i="2"/>
  <c r="P47" i="2"/>
  <c r="P48" i="2"/>
  <c r="P49" i="2"/>
  <c r="O46" i="2"/>
  <c r="P46" i="2"/>
  <c r="O45" i="2"/>
  <c r="P45" i="2"/>
  <c r="O41" i="2"/>
  <c r="O42" i="2"/>
  <c r="O43" i="2"/>
  <c r="O44" i="2"/>
  <c r="P41" i="2"/>
  <c r="P42" i="2"/>
  <c r="P43" i="2"/>
  <c r="P44" i="2"/>
  <c r="O40" i="2"/>
  <c r="P40" i="2"/>
  <c r="O38" i="2"/>
  <c r="O39" i="2"/>
  <c r="P38" i="2"/>
  <c r="P39" i="2"/>
  <c r="O34" i="2"/>
  <c r="O35" i="2"/>
  <c r="O36" i="2"/>
  <c r="O37" i="2"/>
  <c r="P34" i="2"/>
  <c r="P35" i="2"/>
  <c r="P36" i="2"/>
  <c r="P37" i="2"/>
  <c r="O33" i="2"/>
  <c r="P33" i="2"/>
  <c r="O32" i="2"/>
  <c r="P32" i="2"/>
  <c r="O31" i="2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<sst xmlns="http://schemas.openxmlformats.org/spreadsheetml/2006/main" count="547" uniqueCount="126">
  <si>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</si>
  <si>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</si>
  <si>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</si>
  <si>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</si>
  <si>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</si>
  <si>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</si>
  <si>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</si>
  <si>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</si>
  <si>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</si>
  <si>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</si>
  <si>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</si>
  <si>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</si>
  <si>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</si>
  <si>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</si>
  <si>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</si>
  <si>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</si>
  <si>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</si>
  <si>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</si>
  <si>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</si>
  <si>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</si>
  <si>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</si>
  <si>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</si>
  <si>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</si>
  <si>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</si>
  <si>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</si>
  <si>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</si>
  <si>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</si>
  <si>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</si>
  <si>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</si>
  <si>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</si>
  <si>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</si>
  <si>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</si>
  <si>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</si>
  <si>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</si>
  <si>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</si>
  <si>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</si>
  <si>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</si>
  <si>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</si>
  <si>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</si>
  <si>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</si>
  <si>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</si>
  <si>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</si>
  <si>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</si>
  <si>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</si>
  <si>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</si>
  <si>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</si>
  <si>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</si>
  <si>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</si>
  <si>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</si>
  <si>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</si>
  <si>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</si>
  <si>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</si>
  <si>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</si>
  <si>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</si>
  <si>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</si>
  <si>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</si>
  <si>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</si>
  <si>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</si>
  <si>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</si>
  <si>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</si>
  <si>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</si>
  <si>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</si>
  <si>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</si>
  <si>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</si>
  <si>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</si>
  <si>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</si>
  <si>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</si>
  <si>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</si>
  <si>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</si>
  <si>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</si>
  <si>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</si>
  <si>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</si>
  <si>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</si>
  <si>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</si>
  <si>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</si>
  <si>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</si>
  <si>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</si>
  <si>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</si>
  <si>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</si>
  <si>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</si>
  <si>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</si>
  <si>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</si>
  <si>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</si>
  <si>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</si>
  <si>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</si>
  <si>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</si>
  <si>
    <t>Zac Mbao</t>
  </si>
  <si>
    <t>Ibrahima Tahirou</t>
  </si>
  <si>
    <t>Grand Dakar</t>
  </si>
  <si>
    <t>Wane</t>
  </si>
  <si>
    <t>Mouhamed CISSE</t>
  </si>
  <si>
    <t>Il n'avait plus de stock</t>
  </si>
  <si>
    <t>Rufisque</t>
  </si>
  <si>
    <t>Bassirou FALL</t>
  </si>
  <si>
    <t>Souhaibou</t>
  </si>
  <si>
    <t xml:space="preserve">Il dit de repasser la semaine prochaine pour le lait évaporé </t>
  </si>
  <si>
    <t>MACTAR</t>
  </si>
  <si>
    <t>On lui a fait une remise de 14 Cartons (28000) reste à verser 672000f</t>
  </si>
  <si>
    <t>Pikine Sandika</t>
  </si>
  <si>
    <t>Galle GOLLE</t>
  </si>
  <si>
    <t>Marché Bou Bess</t>
  </si>
  <si>
    <t>ABLAYE DIALLO</t>
  </si>
  <si>
    <t>Sodidalo SARL</t>
  </si>
  <si>
    <t>Keur Massar Ainoumady</t>
  </si>
  <si>
    <t>Mouhamed Bâ</t>
  </si>
  <si>
    <t xml:space="preserve">Il veut essayer </t>
  </si>
  <si>
    <t>Adama Bâ</t>
  </si>
  <si>
    <t>Assane</t>
  </si>
  <si>
    <t>Thierno DIALLO</t>
  </si>
  <si>
    <t xml:space="preserve">Il avait essayer le lait mais il dit que ses clients ont apprécié le lait </t>
  </si>
  <si>
    <t>Ameth</t>
  </si>
  <si>
    <t>Mamodou DIALLO</t>
  </si>
  <si>
    <t xml:space="preserve">RAS livré depuis Mercredi </t>
  </si>
  <si>
    <t>Modou Ndiaye</t>
  </si>
  <si>
    <t xml:space="preserve">Il n'avait plus de stock </t>
  </si>
  <si>
    <t>Mohamed</t>
  </si>
  <si>
    <t>Mbao</t>
  </si>
  <si>
    <t>Abdou Leye</t>
  </si>
  <si>
    <t>Ibrahima Diallo</t>
  </si>
  <si>
    <t>Mamadou BA</t>
  </si>
  <si>
    <t>Il veut essayer le produit mais il veut 100 sac et demande s'il peut avoir une échéance de 10 jours</t>
  </si>
  <si>
    <t>Terminus 54</t>
  </si>
  <si>
    <t>BABACAR Cissé</t>
  </si>
  <si>
    <t>Béckaye</t>
  </si>
  <si>
    <t>Moustapha Baldé</t>
  </si>
  <si>
    <t>Alimentation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</si>
</sst>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  <xf numFmtId="164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3" fontId="3" fillId="0" borderId="0" xfId="0" applyNumberFormat="1" applyFont="1" applyFill="1" applyAlignment="1">
      <alignment wrapText="1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  <xf numFmtId="49" fontId="3" fillId="0" borderId="0" xfId="0" applyNumberFormat="1" applyFont="1" applyFill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60" totalsRowShown="0" headerRowDxfId="18" headerRowBorderDxfId="17" tableBorderDxfId="16">
  <autoFilter ref="A1:P6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60"/>
  <sheetViews>
    <sheetView tabSelected="1" topLeftCell="A40" zoomScale="79" zoomScaleNormal="79" workbookViewId="0">
      <selection activeCell="E53" sqref="E53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  <row r="32" spans="1:16" ht="28.15" x14ac:dyDescent="0.45">
      <c r="A32" s="8">
        <v>46142</v>
      </c>
      <c r="B32" s="9" t="s">
        <v>76</v>
      </c>
      <c r="C32" s="9" t="s">
        <v>66</v>
      </c>
      <c r="D32" s="9" t="s">
        <v>86</v>
      </c>
      <c r="E32" s="9" t="s">
        <v>87</v>
      </c>
      <c r="F32" s="10">
        <v>784785900</v>
      </c>
      <c r="G32" s="9" t="s">
        <v>15</v>
      </c>
      <c r="H32" s="9" t="s">
        <v>13</v>
      </c>
      <c r="I32" s="9" t="s">
        <v>16</v>
      </c>
      <c r="J32" s="9" t="s">
        <v>20</v>
      </c>
      <c r="K32" s="9" t="s">
        <v>65</v>
      </c>
      <c r="L32" s="9">
        <v>15</v>
      </c>
      <c r="M32" s="11">
        <v>54000</v>
      </c>
      <c r="N32" s="11">
        <v>810000</v>
      </c>
      <c r="O32" s="7" t="str">
        <f>"S"&amp;_xlfn.ISOWEEKNUM(Semaine_1[[#This Row],[Date]])</f>
        <v>S18</v>
      </c>
      <c r="P32" t="str">
        <f>TEXT(Semaine_1[[#This Row],[Date]],"MMMM")</f>
        <v>avril</v>
      </c>
    </row>
    <row r="33" spans="1:16" ht="28.15" x14ac:dyDescent="0.45">
      <c r="A33" s="12">
        <v>46151</v>
      </c>
      <c r="B33" s="13" t="s">
        <v>70</v>
      </c>
      <c r="C33" s="13" t="s">
        <v>14</v>
      </c>
      <c r="D33" s="13" t="s">
        <v>88</v>
      </c>
      <c r="E33" s="13" t="s">
        <v>89</v>
      </c>
      <c r="F33" s="13">
        <v>775411988</v>
      </c>
      <c r="G33" s="13" t="s">
        <v>24</v>
      </c>
      <c r="H33" s="13" t="s">
        <v>13</v>
      </c>
      <c r="I33" s="13" t="s">
        <v>16</v>
      </c>
      <c r="J33" s="13" t="s">
        <v>38</v>
      </c>
      <c r="K33" s="13" t="s">
        <v>56</v>
      </c>
      <c r="L33" s="13">
        <v>6</v>
      </c>
      <c r="M33" s="14">
        <v>19500</v>
      </c>
      <c r="N33" s="14">
        <v>117000</v>
      </c>
      <c r="O33" s="15" t="str">
        <f>"S"&amp;_xlfn.ISOWEEKNUM(Semaine_1[[#This Row],[Date]])</f>
        <v>S19</v>
      </c>
      <c r="P33" s="16" t="str">
        <f>TEXT(Semaine_1[[#This Row],[Date]],"MMMM")</f>
        <v>mai</v>
      </c>
    </row>
    <row r="34" spans="1:16" x14ac:dyDescent="0.45">
      <c r="A34" s="12">
        <v>46150</v>
      </c>
      <c r="B34" s="13" t="s">
        <v>53</v>
      </c>
      <c r="C34" s="13" t="s">
        <v>39</v>
      </c>
      <c r="D34" s="13" t="s">
        <v>44</v>
      </c>
      <c r="E34" s="13" t="s">
        <v>90</v>
      </c>
      <c r="F34" s="13">
        <v>788217757</v>
      </c>
      <c r="G34" s="13" t="s">
        <v>15</v>
      </c>
      <c r="H34" s="13" t="s">
        <v>13</v>
      </c>
      <c r="I34" s="13" t="s">
        <v>16</v>
      </c>
      <c r="J34" s="13" t="s">
        <v>91</v>
      </c>
      <c r="K34" s="13" t="s">
        <v>30</v>
      </c>
      <c r="L34" s="13">
        <v>25</v>
      </c>
      <c r="M34" s="14">
        <v>26000</v>
      </c>
      <c r="N34" s="14">
        <v>650000</v>
      </c>
      <c r="O34" s="15" t="str">
        <f>"S"&amp;_xlfn.ISOWEEKNUM(Semaine_1[[#This Row],[Date]])</f>
        <v>S19</v>
      </c>
      <c r="P34" s="16" t="str">
        <f>TEXT(Semaine_1[[#This Row],[Date]],"MMMM")</f>
        <v>mai</v>
      </c>
    </row>
    <row r="35" spans="1:16" x14ac:dyDescent="0.45">
      <c r="A35" s="12">
        <v>46150</v>
      </c>
      <c r="B35" s="13" t="s">
        <v>53</v>
      </c>
      <c r="C35" s="13" t="s">
        <v>39</v>
      </c>
      <c r="D35" s="13" t="s">
        <v>92</v>
      </c>
      <c r="E35" s="13" t="s">
        <v>93</v>
      </c>
      <c r="F35" s="13">
        <v>773914377</v>
      </c>
      <c r="G35" s="13" t="s">
        <v>15</v>
      </c>
      <c r="H35" s="13" t="s">
        <v>52</v>
      </c>
      <c r="I35" s="13" t="s">
        <v>16</v>
      </c>
      <c r="J35" s="13" t="s">
        <v>91</v>
      </c>
      <c r="K35" s="13" t="s">
        <v>30</v>
      </c>
      <c r="L35" s="13">
        <v>25</v>
      </c>
      <c r="M35" s="14">
        <v>26000</v>
      </c>
      <c r="N35" s="14">
        <v>650000</v>
      </c>
      <c r="O35" s="15" t="str">
        <f>"S"&amp;_xlfn.ISOWEEKNUM(Semaine_1[[#This Row],[Date]])</f>
        <v>S19</v>
      </c>
      <c r="P35" s="16" t="str">
        <f>TEXT(Semaine_1[[#This Row],[Date]],"MMMM")</f>
        <v>mai</v>
      </c>
    </row>
    <row r="36" spans="1:16" ht="28.15" x14ac:dyDescent="0.45">
      <c r="A36" s="12">
        <v>46150</v>
      </c>
      <c r="B36" s="13" t="s">
        <v>72</v>
      </c>
      <c r="C36" s="13" t="s">
        <v>23</v>
      </c>
      <c r="D36" s="13" t="s">
        <v>59</v>
      </c>
      <c r="E36" s="13" t="s">
        <v>94</v>
      </c>
      <c r="F36" s="13">
        <v>779598695</v>
      </c>
      <c r="G36" s="13" t="s">
        <v>24</v>
      </c>
      <c r="H36" s="13" t="s">
        <v>13</v>
      </c>
      <c r="I36" s="13" t="s">
        <v>16</v>
      </c>
      <c r="J36" s="13" t="s">
        <v>95</v>
      </c>
      <c r="K36" s="13" t="s">
        <v>65</v>
      </c>
      <c r="L36" s="13">
        <v>5</v>
      </c>
      <c r="M36" s="14">
        <v>54000</v>
      </c>
      <c r="N36" s="14">
        <v>270000</v>
      </c>
      <c r="O36" s="15" t="str">
        <f>"S"&amp;_xlfn.ISOWEEKNUM(Semaine_1[[#This Row],[Date]])</f>
        <v>S19</v>
      </c>
      <c r="P36" s="16" t="str">
        <f>TEXT(Semaine_1[[#This Row],[Date]],"MMMM")</f>
        <v>mai</v>
      </c>
    </row>
    <row r="37" spans="1:16" ht="28.15" x14ac:dyDescent="0.45">
      <c r="A37" s="12">
        <v>46150</v>
      </c>
      <c r="B37" s="13" t="s">
        <v>72</v>
      </c>
      <c r="C37" s="13" t="s">
        <v>23</v>
      </c>
      <c r="D37" s="13" t="s">
        <v>41</v>
      </c>
      <c r="E37" s="13" t="s">
        <v>96</v>
      </c>
      <c r="F37" s="13">
        <v>775740574</v>
      </c>
      <c r="G37" s="13" t="s">
        <v>15</v>
      </c>
      <c r="H37" s="13" t="s">
        <v>13</v>
      </c>
      <c r="I37" s="13" t="s">
        <v>16</v>
      </c>
      <c r="J37" s="13" t="s">
        <v>97</v>
      </c>
      <c r="K37" s="13" t="s">
        <v>29</v>
      </c>
      <c r="L37" s="13">
        <v>25</v>
      </c>
      <c r="M37" s="14">
        <v>28000</v>
      </c>
      <c r="N37" s="14">
        <v>700000</v>
      </c>
      <c r="O37" s="15" t="str">
        <f>"S"&amp;_xlfn.ISOWEEKNUM(Semaine_1[[#This Row],[Date]])</f>
        <v>S19</v>
      </c>
      <c r="P37" s="16" t="str">
        <f>TEXT(Semaine_1[[#This Row],[Date]],"MMMM")</f>
        <v>mai</v>
      </c>
    </row>
    <row r="38" spans="1:16" ht="28.15" x14ac:dyDescent="0.45">
      <c r="A38" s="12">
        <v>46150</v>
      </c>
      <c r="B38" s="13" t="s">
        <v>73</v>
      </c>
      <c r="C38" s="13" t="s">
        <v>31</v>
      </c>
      <c r="D38" s="13" t="s">
        <v>98</v>
      </c>
      <c r="E38" s="13" t="s">
        <v>99</v>
      </c>
      <c r="F38" s="13">
        <v>775586819</v>
      </c>
      <c r="G38" s="13" t="s">
        <v>24</v>
      </c>
      <c r="H38" s="13" t="s">
        <v>13</v>
      </c>
      <c r="I38" s="13" t="s">
        <v>16</v>
      </c>
      <c r="J38" s="13" t="s">
        <v>20</v>
      </c>
      <c r="K38" s="13" t="s">
        <v>30</v>
      </c>
      <c r="L38" s="13">
        <v>25</v>
      </c>
      <c r="M38" s="14">
        <v>26000</v>
      </c>
      <c r="N38" s="14">
        <v>650000</v>
      </c>
      <c r="O38" s="15" t="str">
        <f>"S"&amp;_xlfn.ISOWEEKNUM(Semaine_1[[#This Row],[Date]])</f>
        <v>S19</v>
      </c>
      <c r="P38" s="16" t="str">
        <f>TEXT(Semaine_1[[#This Row],[Date]],"MMMM")</f>
        <v>mai</v>
      </c>
    </row>
    <row r="39" spans="1:16" ht="28.15" x14ac:dyDescent="0.45">
      <c r="A39" s="12">
        <v>46150</v>
      </c>
      <c r="B39" s="13" t="s">
        <v>73</v>
      </c>
      <c r="C39" s="13" t="s">
        <v>31</v>
      </c>
      <c r="D39" s="13" t="s">
        <v>100</v>
      </c>
      <c r="E39" s="13" t="s">
        <v>101</v>
      </c>
      <c r="F39" s="13">
        <v>775586604</v>
      </c>
      <c r="G39" s="13" t="s">
        <v>15</v>
      </c>
      <c r="H39" s="13" t="s">
        <v>13</v>
      </c>
      <c r="I39" s="13" t="s">
        <v>16</v>
      </c>
      <c r="J39" s="13" t="s">
        <v>20</v>
      </c>
      <c r="K39" s="13" t="s">
        <v>62</v>
      </c>
      <c r="L39" s="13">
        <v>50</v>
      </c>
      <c r="M39" s="14">
        <v>9000</v>
      </c>
      <c r="N39" s="14">
        <v>450000</v>
      </c>
      <c r="O39" s="15" t="str">
        <f>"S"&amp;_xlfn.ISOWEEKNUM(Semaine_1[[#This Row],[Date]])</f>
        <v>S19</v>
      </c>
      <c r="P39" s="16" t="str">
        <f>TEXT(Semaine_1[[#This Row],[Date]],"MMMM")</f>
        <v>mai</v>
      </c>
    </row>
    <row r="40" spans="1:16" ht="28.15" x14ac:dyDescent="0.45">
      <c r="A40" s="12">
        <v>46148</v>
      </c>
      <c r="B40" s="13" t="s">
        <v>54</v>
      </c>
      <c r="C40" s="13" t="s">
        <v>21</v>
      </c>
      <c r="D40" s="13" t="s">
        <v>22</v>
      </c>
      <c r="E40" s="13" t="s">
        <v>102</v>
      </c>
      <c r="F40" s="13">
        <v>778356666</v>
      </c>
      <c r="G40" s="13" t="s">
        <v>15</v>
      </c>
      <c r="H40" s="13" t="s">
        <v>13</v>
      </c>
      <c r="I40" s="13" t="s">
        <v>16</v>
      </c>
      <c r="J40" s="13" t="s">
        <v>20</v>
      </c>
      <c r="K40" s="13" t="s">
        <v>62</v>
      </c>
      <c r="L40" s="13">
        <v>100</v>
      </c>
      <c r="M40" s="14">
        <v>9000</v>
      </c>
      <c r="N40" s="14">
        <v>900000</v>
      </c>
      <c r="O40" s="15" t="str">
        <f>"S"&amp;_xlfn.ISOWEEKNUM(Semaine_1[[#This Row],[Date]])</f>
        <v>S19</v>
      </c>
      <c r="P40" s="16" t="str">
        <f>TEXT(Semaine_1[[#This Row],[Date]],"MMMM")</f>
        <v>mai</v>
      </c>
    </row>
    <row r="41" spans="1:16" ht="28.15" x14ac:dyDescent="0.45">
      <c r="A41" s="12">
        <v>46148</v>
      </c>
      <c r="B41" s="13" t="s">
        <v>72</v>
      </c>
      <c r="C41" s="13" t="s">
        <v>23</v>
      </c>
      <c r="D41" s="13" t="s">
        <v>103</v>
      </c>
      <c r="E41" s="13" t="s">
        <v>104</v>
      </c>
      <c r="F41" s="13">
        <v>770706706</v>
      </c>
      <c r="G41" s="13" t="s">
        <v>15</v>
      </c>
      <c r="H41" s="13" t="s">
        <v>13</v>
      </c>
      <c r="I41" s="13" t="s">
        <v>16</v>
      </c>
      <c r="J41" s="13" t="s">
        <v>105</v>
      </c>
      <c r="K41" s="13" t="s">
        <v>65</v>
      </c>
      <c r="L41" s="13">
        <v>5</v>
      </c>
      <c r="M41" s="14">
        <v>54000</v>
      </c>
      <c r="N41" s="14">
        <v>270000</v>
      </c>
      <c r="O41" s="15" t="str">
        <f>"S"&amp;_xlfn.ISOWEEKNUM(Semaine_1[[#This Row],[Date]])</f>
        <v>S19</v>
      </c>
      <c r="P41" s="16" t="str">
        <f>TEXT(Semaine_1[[#This Row],[Date]],"MMMM")</f>
        <v>mai</v>
      </c>
    </row>
    <row r="42" spans="1:16" ht="28.15" x14ac:dyDescent="0.45">
      <c r="A42" s="12">
        <v>46148</v>
      </c>
      <c r="B42" s="13" t="s">
        <v>72</v>
      </c>
      <c r="C42" s="13" t="s">
        <v>23</v>
      </c>
      <c r="D42" s="13" t="s">
        <v>103</v>
      </c>
      <c r="E42" s="13" t="s">
        <v>106</v>
      </c>
      <c r="F42" s="13">
        <v>766174009</v>
      </c>
      <c r="G42" s="13" t="s">
        <v>15</v>
      </c>
      <c r="H42" s="13" t="s">
        <v>13</v>
      </c>
      <c r="I42" s="13" t="s">
        <v>16</v>
      </c>
      <c r="J42" s="13" t="s">
        <v>105</v>
      </c>
      <c r="K42" s="13" t="s">
        <v>65</v>
      </c>
      <c r="L42" s="13">
        <v>10</v>
      </c>
      <c r="M42" s="14">
        <v>54000</v>
      </c>
      <c r="N42" s="14">
        <v>540000</v>
      </c>
      <c r="O42" s="15" t="str">
        <f>"S"&amp;_xlfn.ISOWEEKNUM(Semaine_1[[#This Row],[Date]])</f>
        <v>S19</v>
      </c>
      <c r="P42" s="16" t="str">
        <f>TEXT(Semaine_1[[#This Row],[Date]],"MMMM")</f>
        <v>mai</v>
      </c>
    </row>
    <row r="43" spans="1:16" ht="28.15" x14ac:dyDescent="0.45">
      <c r="A43" s="12">
        <v>46148</v>
      </c>
      <c r="B43" s="13" t="s">
        <v>72</v>
      </c>
      <c r="C43" s="13" t="s">
        <v>23</v>
      </c>
      <c r="D43" s="13" t="s">
        <v>40</v>
      </c>
      <c r="E43" s="13" t="s">
        <v>107</v>
      </c>
      <c r="F43" s="13">
        <v>762932950</v>
      </c>
      <c r="G43" s="13" t="s">
        <v>15</v>
      </c>
      <c r="H43" s="13" t="s">
        <v>13</v>
      </c>
      <c r="I43" s="13" t="s">
        <v>16</v>
      </c>
      <c r="J43" s="13" t="s">
        <v>45</v>
      </c>
      <c r="K43" s="13" t="s">
        <v>62</v>
      </c>
      <c r="L43" s="13">
        <v>15</v>
      </c>
      <c r="M43" s="14">
        <v>9000</v>
      </c>
      <c r="N43" s="14">
        <v>135000</v>
      </c>
      <c r="O43" s="15" t="str">
        <f>"S"&amp;_xlfn.ISOWEEKNUM(Semaine_1[[#This Row],[Date]])</f>
        <v>S19</v>
      </c>
      <c r="P43" s="16" t="str">
        <f>TEXT(Semaine_1[[#This Row],[Date]],"MMMM")</f>
        <v>mai</v>
      </c>
    </row>
    <row r="44" spans="1:16" ht="28.15" x14ac:dyDescent="0.45">
      <c r="A44" s="12">
        <v>46148</v>
      </c>
      <c r="B44" s="13" t="s">
        <v>72</v>
      </c>
      <c r="C44" s="13" t="s">
        <v>23</v>
      </c>
      <c r="D44" s="13" t="s">
        <v>103</v>
      </c>
      <c r="E44" s="13" t="s">
        <v>108</v>
      </c>
      <c r="F44" s="13">
        <v>774004048</v>
      </c>
      <c r="G44" s="13" t="s">
        <v>24</v>
      </c>
      <c r="H44" s="13" t="s">
        <v>13</v>
      </c>
      <c r="I44" s="13" t="s">
        <v>16</v>
      </c>
      <c r="J44" s="13" t="s">
        <v>109</v>
      </c>
      <c r="K44" s="13" t="s">
        <v>65</v>
      </c>
      <c r="L44" s="13">
        <v>50</v>
      </c>
      <c r="M44" s="14">
        <v>54000</v>
      </c>
      <c r="N44" s="14">
        <v>2700000</v>
      </c>
      <c r="O44" s="15" t="str">
        <f>"S"&amp;_xlfn.ISOWEEKNUM(Semaine_1[[#This Row],[Date]])</f>
        <v>S19</v>
      </c>
      <c r="P44" s="16" t="str">
        <f>TEXT(Semaine_1[[#This Row],[Date]],"MMMM")</f>
        <v>mai</v>
      </c>
    </row>
    <row r="45" spans="1:16" ht="28.15" x14ac:dyDescent="0.45">
      <c r="A45" s="12">
        <v>46151</v>
      </c>
      <c r="B45" s="13" t="s">
        <v>70</v>
      </c>
      <c r="C45" s="13" t="s">
        <v>14</v>
      </c>
      <c r="D45" s="13" t="s">
        <v>36</v>
      </c>
      <c r="E45" s="13" t="s">
        <v>110</v>
      </c>
      <c r="F45" s="17">
        <v>775602981</v>
      </c>
      <c r="G45" s="13" t="s">
        <v>15</v>
      </c>
      <c r="H45" s="13" t="s">
        <v>13</v>
      </c>
      <c r="I45" s="13" t="s">
        <v>16</v>
      </c>
      <c r="J45" s="13" t="s">
        <v>38</v>
      </c>
      <c r="K45" s="13" t="s">
        <v>49</v>
      </c>
      <c r="L45" s="13">
        <v>25</v>
      </c>
      <c r="M45" s="14">
        <v>6000</v>
      </c>
      <c r="N45" s="14">
        <v>150000</v>
      </c>
      <c r="O45" s="15" t="str">
        <f>"S"&amp;_xlfn.ISOWEEKNUM(Semaine_1[[#This Row],[Date]])</f>
        <v>S19</v>
      </c>
      <c r="P45" s="16" t="str">
        <f>TEXT(Semaine_1[[#This Row],[Date]],"MMMM")</f>
        <v>mai</v>
      </c>
    </row>
    <row r="46" spans="1:16" ht="28.15" x14ac:dyDescent="0.45">
      <c r="A46" s="12">
        <v>46150</v>
      </c>
      <c r="B46" s="13" t="s">
        <v>72</v>
      </c>
      <c r="C46" s="13" t="s">
        <v>23</v>
      </c>
      <c r="D46" s="13" t="s">
        <v>40</v>
      </c>
      <c r="E46" s="13" t="s">
        <v>111</v>
      </c>
      <c r="F46" s="17">
        <v>781316258</v>
      </c>
      <c r="G46" s="13" t="s">
        <v>15</v>
      </c>
      <c r="H46" s="13" t="s">
        <v>13</v>
      </c>
      <c r="I46" s="13" t="s">
        <v>16</v>
      </c>
      <c r="J46" s="13" t="s">
        <v>112</v>
      </c>
      <c r="K46" s="13" t="s">
        <v>65</v>
      </c>
      <c r="L46" s="13">
        <v>10</v>
      </c>
      <c r="M46" s="14">
        <v>54000</v>
      </c>
      <c r="N46" s="14">
        <v>540000</v>
      </c>
      <c r="O46" s="15" t="str">
        <f>"S"&amp;_xlfn.ISOWEEKNUM(Semaine_1[[#This Row],[Date]])</f>
        <v>S19</v>
      </c>
      <c r="P46" s="16" t="str">
        <f>TEXT(Semaine_1[[#This Row],[Date]],"MMMM")</f>
        <v>mai</v>
      </c>
    </row>
    <row r="47" spans="1:16" x14ac:dyDescent="0.45">
      <c r="A47" s="12">
        <v>46150</v>
      </c>
      <c r="B47" s="13" t="s">
        <v>53</v>
      </c>
      <c r="C47" s="13" t="s">
        <v>39</v>
      </c>
      <c r="D47" s="13" t="s">
        <v>44</v>
      </c>
      <c r="E47" s="13" t="s">
        <v>113</v>
      </c>
      <c r="F47" s="17">
        <v>774415358</v>
      </c>
      <c r="G47" s="13" t="s">
        <v>15</v>
      </c>
      <c r="H47" s="13" t="s">
        <v>13</v>
      </c>
      <c r="I47" s="13" t="s">
        <v>16</v>
      </c>
      <c r="J47" s="13" t="s">
        <v>114</v>
      </c>
      <c r="K47" s="13" t="s">
        <v>30</v>
      </c>
      <c r="L47" s="13">
        <v>25</v>
      </c>
      <c r="M47" s="14">
        <v>26000</v>
      </c>
      <c r="N47" s="14">
        <v>650000</v>
      </c>
      <c r="O47" s="15" t="str">
        <f>"S"&amp;_xlfn.ISOWEEKNUM(Semaine_1[[#This Row],[Date]])</f>
        <v>S19</v>
      </c>
      <c r="P47" s="16" t="str">
        <f>TEXT(Semaine_1[[#This Row],[Date]],"MMMM")</f>
        <v>mai</v>
      </c>
    </row>
    <row r="48" spans="1:16" ht="28.15" x14ac:dyDescent="0.45">
      <c r="A48" s="12">
        <v>46150</v>
      </c>
      <c r="B48" s="13" t="s">
        <v>72</v>
      </c>
      <c r="C48" s="13" t="s">
        <v>23</v>
      </c>
      <c r="D48" s="13" t="s">
        <v>40</v>
      </c>
      <c r="E48" s="13" t="s">
        <v>115</v>
      </c>
      <c r="F48" s="17">
        <v>784426640</v>
      </c>
      <c r="G48" s="13" t="s">
        <v>15</v>
      </c>
      <c r="H48" s="13" t="s">
        <v>13</v>
      </c>
      <c r="I48" s="13" t="s">
        <v>16</v>
      </c>
      <c r="J48" s="13" t="s">
        <v>45</v>
      </c>
      <c r="K48" s="13" t="s">
        <v>56</v>
      </c>
      <c r="L48" s="13">
        <v>15</v>
      </c>
      <c r="M48" s="14">
        <v>19500</v>
      </c>
      <c r="N48" s="14">
        <v>292500</v>
      </c>
      <c r="O48" s="15" t="str">
        <f>"S"&amp;_xlfn.ISOWEEKNUM(Semaine_1[[#This Row],[Date]])</f>
        <v>S19</v>
      </c>
      <c r="P48" s="16" t="str">
        <f>TEXT(Semaine_1[[#This Row],[Date]],"MMMM")</f>
        <v>mai</v>
      </c>
    </row>
    <row r="49" spans="1:16" x14ac:dyDescent="0.45">
      <c r="A49" s="12">
        <v>46150</v>
      </c>
      <c r="B49" s="13" t="s">
        <v>53</v>
      </c>
      <c r="C49" s="13" t="s">
        <v>39</v>
      </c>
      <c r="D49" s="13" t="s">
        <v>39</v>
      </c>
      <c r="E49" s="13" t="s">
        <v>60</v>
      </c>
      <c r="F49" s="17">
        <v>773122246</v>
      </c>
      <c r="G49" s="13" t="s">
        <v>15</v>
      </c>
      <c r="H49" s="13" t="s">
        <v>13</v>
      </c>
      <c r="I49" s="13" t="s">
        <v>16</v>
      </c>
      <c r="J49" s="13" t="s">
        <v>91</v>
      </c>
      <c r="K49" s="13" t="s">
        <v>30</v>
      </c>
      <c r="L49" s="13">
        <v>25</v>
      </c>
      <c r="M49" s="14">
        <v>26000</v>
      </c>
      <c r="N49" s="14">
        <v>650000</v>
      </c>
      <c r="O49" s="15" t="str">
        <f>"S"&amp;_xlfn.ISOWEEKNUM(Semaine_1[[#This Row],[Date]])</f>
        <v>S19</v>
      </c>
      <c r="P49" s="16" t="str">
        <f>TEXT(Semaine_1[[#This Row],[Date]],"MMMM")</f>
        <v>mai</v>
      </c>
    </row>
    <row r="50" spans="1:16" x14ac:dyDescent="0.45">
      <c r="A50" s="12">
        <v>46150</v>
      </c>
      <c r="B50" s="13" t="s">
        <v>71</v>
      </c>
      <c r="C50" s="13" t="s">
        <v>25</v>
      </c>
      <c r="D50" s="13" t="s">
        <v>28</v>
      </c>
      <c r="E50" s="13" t="s">
        <v>55</v>
      </c>
      <c r="F50" s="17">
        <v>775544532</v>
      </c>
      <c r="G50" s="13" t="s">
        <v>24</v>
      </c>
      <c r="H50" s="13" t="s">
        <v>13</v>
      </c>
      <c r="I50" s="13" t="s">
        <v>16</v>
      </c>
      <c r="J50" s="13" t="s">
        <v>26</v>
      </c>
      <c r="K50" s="13" t="s">
        <v>30</v>
      </c>
      <c r="L50" s="13">
        <v>100</v>
      </c>
      <c r="M50" s="14">
        <v>26000</v>
      </c>
      <c r="N50" s="14">
        <v>2600000</v>
      </c>
      <c r="O50" s="15" t="str">
        <f>"S"&amp;_xlfn.ISOWEEKNUM(Semaine_1[[#This Row],[Date]])</f>
        <v>S19</v>
      </c>
      <c r="P50" s="16" t="str">
        <f>TEXT(Semaine_1[[#This Row],[Date]],"MMMM")</f>
        <v>mai</v>
      </c>
    </row>
    <row r="51" spans="1:16" x14ac:dyDescent="0.45">
      <c r="A51" s="12">
        <v>46150</v>
      </c>
      <c r="B51" s="13" t="s">
        <v>71</v>
      </c>
      <c r="C51" s="13" t="s">
        <v>25</v>
      </c>
      <c r="D51" s="13" t="s">
        <v>33</v>
      </c>
      <c r="E51" s="13" t="s">
        <v>69</v>
      </c>
      <c r="F51" s="17">
        <v>772131614</v>
      </c>
      <c r="G51" s="13" t="s">
        <v>15</v>
      </c>
      <c r="H51" s="13" t="s">
        <v>13</v>
      </c>
      <c r="I51" s="13" t="s">
        <v>16</v>
      </c>
      <c r="J51" s="13" t="s">
        <v>26</v>
      </c>
      <c r="K51" s="13" t="s">
        <v>62</v>
      </c>
      <c r="L51" s="13">
        <v>10</v>
      </c>
      <c r="M51" s="14">
        <v>9000</v>
      </c>
      <c r="N51" s="14">
        <v>90000</v>
      </c>
      <c r="O51" s="15" t="str">
        <f>"S"&amp;_xlfn.ISOWEEKNUM(Semaine_1[[#This Row],[Date]])</f>
        <v>S19</v>
      </c>
      <c r="P51" s="16" t="str">
        <f>TEXT(Semaine_1[[#This Row],[Date]],"MMMM")</f>
        <v>mai</v>
      </c>
    </row>
    <row r="52" spans="1:16" ht="28.15" x14ac:dyDescent="0.45">
      <c r="A52" s="12">
        <v>46150</v>
      </c>
      <c r="B52" s="13" t="s">
        <v>76</v>
      </c>
      <c r="C52" s="13" t="s">
        <v>66</v>
      </c>
      <c r="D52" s="13" t="s">
        <v>116</v>
      </c>
      <c r="E52" s="13" t="s">
        <v>117</v>
      </c>
      <c r="F52" s="17">
        <v>776327767</v>
      </c>
      <c r="G52" s="13" t="s">
        <v>24</v>
      </c>
      <c r="H52" s="13" t="s">
        <v>13</v>
      </c>
      <c r="I52" s="13" t="s">
        <v>16</v>
      </c>
      <c r="J52" s="13" t="s">
        <v>20</v>
      </c>
      <c r="K52" s="13" t="s">
        <v>62</v>
      </c>
      <c r="L52" s="13">
        <v>20</v>
      </c>
      <c r="M52" s="14">
        <v>9000</v>
      </c>
      <c r="N52" s="14">
        <v>180000</v>
      </c>
      <c r="O52" s="15" t="str">
        <f>"S"&amp;_xlfn.ISOWEEKNUM(Semaine_1[[#This Row],[Date]])</f>
        <v>S19</v>
      </c>
      <c r="P52" s="16" t="str">
        <f>TEXT(Semaine_1[[#This Row],[Date]],"MMMM")</f>
        <v>mai</v>
      </c>
    </row>
    <row r="53" spans="1:16" ht="28.15" x14ac:dyDescent="0.45">
      <c r="A53" s="12">
        <v>46150</v>
      </c>
      <c r="B53" s="13" t="s">
        <v>76</v>
      </c>
      <c r="C53" s="13" t="s">
        <v>66</v>
      </c>
      <c r="D53" s="13" t="s">
        <v>116</v>
      </c>
      <c r="E53" s="13" t="s">
        <v>117</v>
      </c>
      <c r="F53" s="17">
        <v>776327767</v>
      </c>
      <c r="G53" s="13" t="s">
        <v>24</v>
      </c>
      <c r="H53" s="13" t="s">
        <v>13</v>
      </c>
      <c r="I53" s="13" t="s">
        <v>16</v>
      </c>
      <c r="J53" s="13" t="s">
        <v>20</v>
      </c>
      <c r="K53" s="13" t="s">
        <v>27</v>
      </c>
      <c r="L53" s="13">
        <v>10</v>
      </c>
      <c r="M53" s="14">
        <v>9000</v>
      </c>
      <c r="N53" s="14">
        <v>90000</v>
      </c>
      <c r="O53" s="15" t="str">
        <f>"S"&amp;_xlfn.ISOWEEKNUM(Semaine_1[[#This Row],[Date]])</f>
        <v>S19</v>
      </c>
      <c r="P53" s="16" t="str">
        <f>TEXT(Semaine_1[[#This Row],[Date]],"MMMM")</f>
        <v>mai</v>
      </c>
    </row>
    <row r="54" spans="1:16" ht="28.15" x14ac:dyDescent="0.45">
      <c r="A54" s="12">
        <v>46150</v>
      </c>
      <c r="B54" s="13" t="s">
        <v>54</v>
      </c>
      <c r="C54" s="13" t="s">
        <v>21</v>
      </c>
      <c r="D54" s="13" t="s">
        <v>22</v>
      </c>
      <c r="E54" s="13" t="s">
        <v>118</v>
      </c>
      <c r="F54" s="17">
        <v>773066194</v>
      </c>
      <c r="G54" s="13" t="s">
        <v>15</v>
      </c>
      <c r="H54" s="13" t="s">
        <v>13</v>
      </c>
      <c r="I54" s="13" t="s">
        <v>16</v>
      </c>
      <c r="J54" s="13" t="s">
        <v>20</v>
      </c>
      <c r="K54" s="13" t="s">
        <v>30</v>
      </c>
      <c r="L54" s="13">
        <v>25</v>
      </c>
      <c r="M54" s="14">
        <v>26000</v>
      </c>
      <c r="N54" s="14">
        <v>650000</v>
      </c>
      <c r="O54" s="15" t="str">
        <f>"S"&amp;_xlfn.ISOWEEKNUM(Semaine_1[[#This Row],[Date]])</f>
        <v>S19</v>
      </c>
      <c r="P54" s="16" t="str">
        <f>TEXT(Semaine_1[[#This Row],[Date]],"MMMM")</f>
        <v>mai</v>
      </c>
    </row>
    <row r="55" spans="1:16" ht="28.15" x14ac:dyDescent="0.45">
      <c r="A55" s="12">
        <v>46149</v>
      </c>
      <c r="B55" s="13" t="s">
        <v>53</v>
      </c>
      <c r="C55" s="13" t="s">
        <v>39</v>
      </c>
      <c r="D55" s="13" t="s">
        <v>92</v>
      </c>
      <c r="E55" s="13" t="s">
        <v>119</v>
      </c>
      <c r="F55" s="17">
        <v>781091498</v>
      </c>
      <c r="G55" s="13" t="s">
        <v>15</v>
      </c>
      <c r="H55" s="13" t="s">
        <v>52</v>
      </c>
      <c r="I55" s="13" t="s">
        <v>16</v>
      </c>
      <c r="J55" s="13" t="s">
        <v>120</v>
      </c>
      <c r="K55" s="13" t="s">
        <v>65</v>
      </c>
      <c r="L55" s="13">
        <v>20</v>
      </c>
      <c r="M55" s="14">
        <v>54000</v>
      </c>
      <c r="N55" s="14">
        <v>1080000</v>
      </c>
      <c r="O55" s="15" t="str">
        <f>"S"&amp;_xlfn.ISOWEEKNUM(Semaine_1[[#This Row],[Date]])</f>
        <v>S19</v>
      </c>
      <c r="P55" s="16" t="str">
        <f>TEXT(Semaine_1[[#This Row],[Date]],"MMMM")</f>
        <v>mai</v>
      </c>
    </row>
    <row r="56" spans="1:16" ht="28.15" x14ac:dyDescent="0.45">
      <c r="A56" s="12">
        <v>46147</v>
      </c>
      <c r="B56" s="13" t="s">
        <v>72</v>
      </c>
      <c r="C56" s="13" t="s">
        <v>23</v>
      </c>
      <c r="D56" s="13" t="s">
        <v>121</v>
      </c>
      <c r="E56" s="13" t="s">
        <v>122</v>
      </c>
      <c r="F56" s="17">
        <v>783682649</v>
      </c>
      <c r="G56" s="13" t="s">
        <v>15</v>
      </c>
      <c r="H56" s="13" t="s">
        <v>13</v>
      </c>
      <c r="I56" s="13" t="s">
        <v>16</v>
      </c>
      <c r="J56" s="13" t="s">
        <v>45</v>
      </c>
      <c r="K56" s="13" t="s">
        <v>62</v>
      </c>
      <c r="L56" s="13">
        <v>15</v>
      </c>
      <c r="M56" s="14">
        <v>9000</v>
      </c>
      <c r="N56" s="14">
        <v>135000</v>
      </c>
      <c r="O56" s="15" t="str">
        <f>"S"&amp;_xlfn.ISOWEEKNUM(Semaine_1[[#This Row],[Date]])</f>
        <v>S19</v>
      </c>
      <c r="P56" s="16" t="str">
        <f>TEXT(Semaine_1[[#This Row],[Date]],"MMMM")</f>
        <v>mai</v>
      </c>
    </row>
    <row r="57" spans="1:16" ht="28.15" x14ac:dyDescent="0.45">
      <c r="A57" s="12">
        <v>46147</v>
      </c>
      <c r="B57" s="13" t="s">
        <v>72</v>
      </c>
      <c r="C57" s="13" t="s">
        <v>23</v>
      </c>
      <c r="D57" s="13" t="s">
        <v>121</v>
      </c>
      <c r="E57" s="13" t="s">
        <v>122</v>
      </c>
      <c r="F57" s="17">
        <v>783682649</v>
      </c>
      <c r="G57" s="13" t="s">
        <v>15</v>
      </c>
      <c r="H57" s="13" t="s">
        <v>13</v>
      </c>
      <c r="I57" s="13" t="s">
        <v>16</v>
      </c>
      <c r="J57" s="13" t="s">
        <v>45</v>
      </c>
      <c r="K57" s="13" t="s">
        <v>27</v>
      </c>
      <c r="L57" s="13">
        <v>10</v>
      </c>
      <c r="M57" s="14">
        <v>9000</v>
      </c>
      <c r="N57" s="14">
        <v>90000</v>
      </c>
      <c r="O57" s="15" t="str">
        <f>"S"&amp;_xlfn.ISOWEEKNUM(Semaine_1[[#This Row],[Date]])</f>
        <v>S19</v>
      </c>
      <c r="P57" s="16" t="str">
        <f>TEXT(Semaine_1[[#This Row],[Date]],"MMMM")</f>
        <v>mai</v>
      </c>
    </row>
    <row r="58" spans="1:16" x14ac:dyDescent="0.45">
      <c r="A58" s="12">
        <v>46147</v>
      </c>
      <c r="B58" s="13" t="s">
        <v>53</v>
      </c>
      <c r="C58" s="13" t="s">
        <v>39</v>
      </c>
      <c r="D58" s="13" t="s">
        <v>92</v>
      </c>
      <c r="E58" s="13" t="s">
        <v>123</v>
      </c>
      <c r="F58" s="17">
        <v>772038792</v>
      </c>
      <c r="G58" s="13" t="s">
        <v>15</v>
      </c>
      <c r="H58" s="13" t="s">
        <v>13</v>
      </c>
      <c r="I58" s="13" t="s">
        <v>16</v>
      </c>
      <c r="J58" s="13" t="s">
        <v>48</v>
      </c>
      <c r="K58" s="13" t="s">
        <v>65</v>
      </c>
      <c r="L58" s="13">
        <v>10</v>
      </c>
      <c r="M58" s="14">
        <v>54000</v>
      </c>
      <c r="N58" s="14">
        <v>540000</v>
      </c>
      <c r="O58" s="15" t="str">
        <f>"S"&amp;_xlfn.ISOWEEKNUM(Semaine_1[[#This Row],[Date]])</f>
        <v>S19</v>
      </c>
      <c r="P58" s="16" t="str">
        <f>TEXT(Semaine_1[[#This Row],[Date]],"MMMM")</f>
        <v>mai</v>
      </c>
    </row>
    <row r="59" spans="1:16" x14ac:dyDescent="0.45">
      <c r="A59" s="12">
        <v>46147</v>
      </c>
      <c r="B59" s="13" t="s">
        <v>53</v>
      </c>
      <c r="C59" s="13" t="s">
        <v>39</v>
      </c>
      <c r="D59" s="13" t="s">
        <v>44</v>
      </c>
      <c r="E59" s="13" t="s">
        <v>90</v>
      </c>
      <c r="F59" s="17">
        <v>788217757</v>
      </c>
      <c r="G59" s="13" t="s">
        <v>15</v>
      </c>
      <c r="H59" s="13" t="s">
        <v>13</v>
      </c>
      <c r="I59" s="13" t="s">
        <v>16</v>
      </c>
      <c r="J59" s="13" t="s">
        <v>48</v>
      </c>
      <c r="K59" s="13" t="s">
        <v>62</v>
      </c>
      <c r="L59" s="13">
        <v>20</v>
      </c>
      <c r="M59" s="14">
        <v>9000</v>
      </c>
      <c r="N59" s="14">
        <v>180000</v>
      </c>
      <c r="O59" s="15" t="str">
        <f>"S"&amp;_xlfn.ISOWEEKNUM(Semaine_1[[#This Row],[Date]])</f>
        <v>S19</v>
      </c>
      <c r="P59" s="16" t="str">
        <f>TEXT(Semaine_1[[#This Row],[Date]],"MMMM")</f>
        <v>mai</v>
      </c>
    </row>
    <row r="60" spans="1:16" x14ac:dyDescent="0.45">
      <c r="A60" s="12">
        <v>46147</v>
      </c>
      <c r="B60" s="13" t="s">
        <v>53</v>
      </c>
      <c r="C60" s="13" t="s">
        <v>39</v>
      </c>
      <c r="D60" s="13" t="s">
        <v>44</v>
      </c>
      <c r="E60" s="13" t="s">
        <v>124</v>
      </c>
      <c r="F60" s="17">
        <v>772773318</v>
      </c>
      <c r="G60" s="13" t="s">
        <v>125</v>
      </c>
      <c r="H60" s="13" t="s">
        <v>13</v>
      </c>
      <c r="I60" s="13" t="s">
        <v>16</v>
      </c>
      <c r="J60" s="13" t="s">
        <v>48</v>
      </c>
      <c r="K60" s="13" t="s">
        <v>62</v>
      </c>
      <c r="L60" s="13">
        <v>5</v>
      </c>
      <c r="M60" s="14">
        <v>9000</v>
      </c>
      <c r="N60" s="14">
        <v>45000</v>
      </c>
      <c r="O60" s="15" t="str">
        <f>"S"&amp;_xlfn.ISOWEEKNUM(Semaine_1[[#This Row],[Date]])</f>
        <v>S19</v>
      </c>
      <c r="P60" s="16" t="str">
        <f>TEXT(Semaine_1[[#This Row],[Date]],"MMMM")</f>
        <v>mai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2026-05-10T16:11:42Z</dcterms:modified>
</cp:coreProperties>
</file>