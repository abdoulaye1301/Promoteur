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72FE09F3-B422-4911-8C23-8768A3B86730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0" i="2" l="1"/>
  <c r="O131" i="2"/>
  <c r="P130" i="2"/>
  <c r="P131" i="2"/>
  <c r="O125" i="2"/>
  <c r="O126" i="2"/>
  <c r="O127" i="2"/>
  <c r="O128" i="2"/>
  <c r="O129" i="2"/>
  <c r="P125" i="2"/>
  <c r="P126" i="2"/>
  <c r="P127" i="2"/>
  <c r="P128" i="2"/>
  <c r="P129" i="2"/>
  <c r="O120" i="2"/>
  <c r="O121" i="2"/>
  <c r="O122" i="2"/>
  <c r="O123" i="2"/>
  <c r="O124" i="2"/>
  <c r="P120" i="2"/>
  <c r="P121" i="2"/>
  <c r="P122" i="2"/>
  <c r="P123" i="2"/>
  <c r="P124" i="2"/>
  <c r="O119" i="2"/>
  <c r="P119" i="2"/>
  <c r="O118" i="2"/>
  <c r="P118" i="2"/>
  <c r="O113" i="2"/>
  <c r="O114" i="2"/>
  <c r="O115" i="2"/>
  <c r="O116" i="2"/>
  <c r="O117" i="2"/>
  <c r="P113" i="2"/>
  <c r="P114" i="2"/>
  <c r="P115" i="2"/>
  <c r="P116" i="2"/>
  <c r="P117" i="2"/>
  <c r="O112" i="2"/>
  <c r="P112" i="2"/>
  <c r="O102" i="2"/>
  <c r="O103" i="2"/>
  <c r="O104" i="2"/>
  <c r="O105" i="2"/>
  <c r="O106" i="2"/>
  <c r="O107" i="2"/>
  <c r="O108" i="2"/>
  <c r="O109" i="2"/>
  <c r="O110" i="2"/>
  <c r="O111" i="2"/>
  <c r="P102" i="2"/>
  <c r="P103" i="2"/>
  <c r="P104" i="2"/>
  <c r="P105" i="2"/>
  <c r="P106" i="2"/>
  <c r="P107" i="2"/>
  <c r="P108" i="2"/>
  <c r="P109" i="2"/>
  <c r="P110" i="2"/>
  <c r="P111" i="2"/>
  <c r="O101" i="2"/>
  <c r="P101" i="2"/>
  <c r="O100" i="2"/>
  <c r="P100" i="2"/>
  <c r="O99" i="2"/>
  <c r="P99" i="2"/>
  <c r="O97" i="2"/>
  <c r="O98" i="2"/>
  <c r="P97" i="2"/>
  <c r="P98" i="2"/>
  <c r="O96" i="2"/>
  <c r="P96" i="2"/>
  <c r="O90" i="2"/>
  <c r="O91" i="2"/>
  <c r="O92" i="2"/>
  <c r="O93" i="2"/>
  <c r="O94" i="2"/>
  <c r="O95" i="2"/>
  <c r="P90" i="2"/>
  <c r="P91" i="2"/>
  <c r="P92" i="2"/>
  <c r="P93" i="2"/>
  <c r="P94" i="2"/>
  <c r="P95" i="2"/>
  <c r="O89" i="2"/>
  <c r="P89" i="2"/>
  <c r="O88" i="2"/>
  <c r="P88" i="2"/>
  <c r="O87" i="2"/>
  <c r="P87" i="2"/>
  <c r="O86" i="2"/>
  <c r="P86" i="2"/>
  <c r="O85" i="2"/>
  <c r="P85" i="2"/>
  <c r="O82" i="2"/>
  <c r="O83" i="2"/>
  <c r="O84" i="2"/>
  <c r="P82" i="2"/>
  <c r="P83" i="2"/>
  <c r="P84" i="2"/>
  <c r="O81" i="2"/>
  <c r="P81" i="2"/>
  <c r="O80" i="2"/>
  <c r="P80" i="2"/>
  <c r="O79" i="2"/>
  <c r="P79" i="2"/>
  <c r="O78" i="2"/>
  <c r="P78" i="2"/>
  <c r="O74" i="2"/>
  <c r="O75" i="2"/>
  <c r="O76" i="2"/>
  <c r="O77" i="2"/>
  <c r="P74" i="2"/>
  <c r="P75" i="2"/>
  <c r="P76" i="2"/>
  <c r="P77" i="2"/>
  <c r="O73" i="2"/>
  <c r="P73" i="2"/>
  <c r="O72" i="2"/>
  <c r="P72" i="2"/>
  <c r="O71" i="2"/>
  <c r="P71" i="2"/>
  <c r="O69" i="2"/>
  <c r="O70" i="2"/>
  <c r="P69" i="2"/>
  <c r="P70" i="2"/>
  <c r="O57" i="2"/>
  <c r="O58" i="2"/>
  <c r="O59" i="2"/>
  <c r="O60" i="2"/>
  <c r="O61" i="2"/>
  <c r="O62" i="2"/>
  <c r="O63" i="2"/>
  <c r="O64" i="2"/>
  <c r="O65" i="2"/>
  <c r="O66" i="2"/>
  <c r="O67" i="2"/>
  <c r="O68" i="2"/>
  <c r="P57" i="2"/>
  <c r="P58" i="2"/>
  <c r="P59" i="2"/>
  <c r="P60" i="2"/>
  <c r="P61" i="2"/>
  <c r="P62" i="2"/>
  <c r="P63" i="2"/>
  <c r="P64" i="2"/>
  <c r="P65" i="2"/>
  <c r="P66" i="2"/>
  <c r="P67" i="2"/>
  <c r="P68" i="2"/>
  <c r="O54" i="2"/>
  <c r="O55" i="2"/>
  <c r="O56" i="2"/>
  <c r="P54" i="2"/>
  <c r="P55" i="2"/>
  <c r="P56" i="2"/>
  <c r="O53" i="2"/>
  <c r="P53" i="2"/>
  <c r="O52" i="2"/>
  <c r="P52" i="2"/>
  <c r="O51" i="2"/>
  <c r="P51" i="2"/>
  <c r="O50" i="2"/>
  <c r="P50" i="2"/>
  <c r="O48" i="2"/>
  <c r="O49" i="2"/>
  <c r="P48" i="2"/>
  <c r="P49" i="2"/>
  <c r="O47" i="2"/>
  <c r="P47" i="2"/>
  <c r="O46" i="2"/>
  <c r="P46" i="2"/>
  <c r="O42" i="2"/>
  <c r="O43" i="2"/>
  <c r="O44" i="2"/>
  <c r="O45" i="2"/>
  <c r="P42" i="2"/>
  <c r="P43" i="2"/>
  <c r="P44" i="2"/>
  <c r="P45" i="2"/>
  <c r="O39" i="2"/>
  <c r="O40" i="2"/>
  <c r="O41" i="2"/>
  <c r="P39" i="2"/>
  <c r="P40" i="2"/>
  <c r="P41" i="2"/>
  <c r="O38" i="2"/>
  <c r="P38" i="2"/>
  <c r="O37" i="2"/>
  <c r="P37" i="2"/>
  <c r="O36" i="2"/>
  <c r="P36" i="2"/>
  <c r="O35" i="2"/>
  <c r="P35" i="2"/>
  <c r="O34" i="2"/>
  <c r="P34" i="2"/>
  <c r="O30" i="2"/>
  <c r="O31" i="2"/>
  <c r="O32" i="2"/>
  <c r="O33" i="2"/>
  <c r="P30" i="2"/>
  <c r="P31" i="2"/>
  <c r="P32" i="2"/>
  <c r="P33" i="2"/>
  <c r="O29" i="2"/>
  <c r="P29" i="2"/>
  <c r="O28" i="2"/>
  <c r="P28" i="2"/>
  <c r="O24" i="2"/>
  <c r="O25" i="2"/>
  <c r="O26" i="2"/>
  <c r="O27" i="2"/>
  <c r="P24" i="2"/>
  <c r="P25" i="2"/>
  <c r="P26" i="2"/>
  <c r="P27" i="2"/>
  <c r="O22" i="2"/>
  <c r="O23" i="2"/>
  <c r="P22" i="2"/>
  <c r="P23" i="2"/>
  <c r="O21" i="2"/>
  <c r="P21" i="2"/>
  <c r="O20" i="2"/>
  <c r="P20" i="2"/>
  <c r="O19" i="2"/>
  <c r="P19" i="2"/>
  <c r="O18" i="2"/>
  <c r="P18" i="2"/>
  <c r="O16" i="2"/>
  <c r="O17" i="2"/>
  <c r="P16" i="2"/>
  <c r="P17" i="2"/>
  <c r="O15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<sst xmlns="http://schemas.openxmlformats.org/spreadsheetml/2006/main" count="1186" uniqueCount="172">
  <si>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</si>
  <si>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</si>
  <si>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</si>
  <si>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</si>
  <si>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</si>
  <si>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</si>
  <si>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</si>
  <si>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</si>
  <si>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</si>
  <si>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</si>
  <si>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</si>
  <si>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</si>
  <si>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</si>
  <si>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</si>
  <si>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</si>
  <si>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</si>
  <si>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</si>
  <si>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</si>
  <si>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</si>
  <si>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</si>
  <si>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</si>
  <si>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</si>
  <si>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</si>
  <si>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</si>
  <si>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</si>
  <si>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</si>
  <si>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</si>
  <si>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</si>
  <si>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</si>
  <si>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</si>
  <si>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</si>
  <si>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</si>
  <si>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</si>
  <si>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</si>
  <si>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</si>
  <si>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</si>
  <si>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</si>
  <si>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</si>
  <si>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</si>
  <si>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</si>
  <si>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</si>
  <si>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</si>
  <si>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</si>
  <si>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</si>
  <si>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</si>
  <si>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</si>
  <si>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</si>
  <si>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</si>
  <si>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</si>
  <si>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</si>
  <si>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</si>
  <si>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</si>
  <si>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</si>
  <si>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</si>
  <si>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</si>
  <si>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</si>
  <si>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</si>
  <si>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</si>
  <si>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</si>
  <si>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</si>
  <si>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</si>
  <si>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</si>
  <si>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</si>
  <si>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</si>
  <si>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</si>
  <si>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</si>
  <si>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</si>
  <si>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</si>
  <si>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</si>
  <si>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</si>
  <si>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</si>
  <si>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</si>
  <si>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</si>
  <si>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</si>
  <si>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</si>
  <si>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</si>
  <si>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</si>
  <si>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</si>
  <si>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</si>
  <si>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</si>
  <si>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</si>
  <si>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</si>
  <si>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</si>
  <si>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</si>
  <si>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</si>
  <si>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</si>
  <si>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</si>
  <si>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</si>
  <si>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</si>
  <si>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</si>
  <si>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</si>
  <si>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</si>
  <si>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</si>
  <si>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</si>
  <si>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</si>
  <si>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</si>
  <si>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</si>
  <si>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</si>
  <si>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</si>
  <si>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</si>
  <si>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</si>
  <si>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</si>
  <si>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</si>
  <si>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</si>
  <si>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</si>
  <si>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</si>
  <si>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</si>
  <si>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</si>
  <si>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</si>
  <si>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</si>
  <si>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</si>
  <si>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</si>
  <si>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</si>
  <si>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</si>
  <si>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</si>
  <si>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</si>
  <si>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</si>
  <si>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</si>
  <si>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</si>
  <si>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</si>
  <si>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</si>
  <si>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</si>
  <si>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</si>
  <si>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</si>
  <si>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</si>
  <si>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</si>
  <si>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</si>
  <si>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</si>
  <si>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</si>
  <si>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</si>
  <si>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</si>
  <si>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</si>
  <si>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</si>
  <si>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</si>
  <si>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</si>
  <si>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</si>
  <si>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</si>
  <si>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</si>
  <si>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</si>
  <si>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</si>
  <si>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Elhadj Ly</t>
  </si>
  <si>
    <t>Stapro.com SARL n2</t>
  </si>
  <si>
    <t>Il est satisfait de la rapidité de la livraison</t>
  </si>
  <si>
    <t>Sodidalo SARL</t>
  </si>
  <si>
    <t>18safar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</si>
  <si>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</si>
  <si>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</si>
  <si>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</si>
  <si>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</si>
  <si>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</si>
  <si>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</si>
  <si>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</si>
  <si>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</si>
  <si>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</si>
  <si>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</si>
  <si>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 xml:space="preserve">Vous avez retardé mon commende 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</si>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</sst>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31" totalsRowShown="0" headerRowDxfId="18" headerRowBorderDxfId="17" tableBorderDxfId="16">
  <autoFilter ref="A1:P13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31"/>
  <sheetViews>
    <sheetView tabSelected="1" topLeftCell="A114" zoomScale="79" zoomScaleNormal="79" workbookViewId="0">
      <selection activeCell="A72" sqref="A72:N13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"S0"&amp;_xlfn.ISOWEEKNUM(Semaine_1[[#This Row],[Date]])</f>
        <v>S08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"S0"&amp;_xlfn.ISOWEEKNUM(Semaine_1[[#This Row],[Date]])</f>
        <v>S08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"S0"&amp;_xlfn.ISOWEEKNUM(Semaine_1[[#This Row],[Date]])</f>
        <v>S08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"S0"&amp;_xlfn.ISOWEEKNUM(Semaine_1[[#This Row],[Date]])</f>
        <v>S08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"S0"&amp;_xlfn.ISOWEEKNUM(Semaine_1[[#This Row],[Date]])</f>
        <v>S08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"S0"&amp;_xlfn.ISOWEEKNUM(Semaine_1[[#This Row],[Date]])</f>
        <v>S08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"S0"&amp;_xlfn.ISOWEEKNUM(Semaine_1[[#This Row],[Date]])</f>
        <v>S08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"S0"&amp;_xlfn.ISOWEEKNUM(Semaine_1[[#This Row],[Date]])</f>
        <v>S08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"S0"&amp;_xlfn.ISOWEEKNUM(Semaine_1[[#This Row],[Date]])</f>
        <v>S08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"S0"&amp;_xlfn.ISOWEEKNUM(Semaine_1[[#This Row],[Date]])</f>
        <v>S08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"S0"&amp;_xlfn.ISOWEEKNUM(Semaine_1[[#This Row],[Date]])</f>
        <v>S08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"S0"&amp;_xlfn.ISOWEEKNUM(Semaine_1[[#This Row],[Date]])</f>
        <v>S08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"S0"&amp;_xlfn.ISOWEEKNUM(Semaine_1[[#This Row],[Date]])</f>
        <v>S08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"S0"&amp;_xlfn.ISOWEEKNUM(Semaine_1[[#This Row],[Date]])</f>
        <v>S08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"S0"&amp;_xlfn.ISOWEEKNUM(Semaine_1[[#This Row],[Date]])</f>
        <v>S08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"S0"&amp;_xlfn.ISOWEEKNUM(Semaine_1[[#This Row],[Date]])</f>
        <v>S08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"S0"&amp;_xlfn.ISOWEEKNUM(Semaine_1[[#This Row],[Date]])</f>
        <v>S08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"S0"&amp;_xlfn.ISOWEEKNUM(Semaine_1[[#This Row],[Date]])</f>
        <v>S08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"S0"&amp;_xlfn.ISOWEEKNUM(Semaine_1[[#This Row],[Date]])</f>
        <v>S08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"S0"&amp;_xlfn.ISOWEEKNUM(Semaine_1[[#This Row],[Date]])</f>
        <v>S08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"S0"&amp;_xlfn.ISOWEEKNUM(Semaine_1[[#This Row],[Date]])</f>
        <v>S08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"S0"&amp;_xlfn.ISOWEEKNUM(Semaine_1[[#This Row],[Date]])</f>
        <v>S08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"S0"&amp;_xlfn.ISOWEEKNUM(Semaine_1[[#This Row],[Date]])</f>
        <v>S08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"S0"&amp;_xlfn.ISOWEEKNUM(Semaine_1[[#This Row],[Date]])</f>
        <v>S08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"S0"&amp;_xlfn.ISOWEEKNUM(Semaine_1[[#This Row],[Date]])</f>
        <v>S08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"S0"&amp;_xlfn.ISOWEEKNUM(Semaine_1[[#This Row],[Date]])</f>
        <v>S08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"S0"&amp;_xlfn.ISOWEEKNUM(Semaine_1[[#This Row],[Date]])</f>
        <v>S08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"S0"&amp;_xlfn.ISOWEEKNUM(Semaine_1[[#This Row],[Date]])</f>
        <v>S08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"S0"&amp;_xlfn.ISOWEEKNUM(Semaine_1[[#This Row],[Date]])</f>
        <v>S08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"S0"&amp;_xlfn.ISOWEEKNUM(Semaine_1[[#This Row],[Date]])</f>
        <v>S08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"S0"&amp;_xlfn.ISOWEEKNUM(Semaine_1[[#This Row],[Date]])</f>
        <v>S08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"S0"&amp;_xlfn.ISOWEEKNUM(Semaine_1[[#This Row],[Date]])</f>
        <v>S08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"S0"&amp;_xlfn.ISOWEEKNUM(Semaine_1[[#This Row],[Date]])</f>
        <v>S08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"S0"&amp;_xlfn.ISOWEEKNUM(Semaine_1[[#This Row],[Date]])</f>
        <v>S08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"S0"&amp;_xlfn.ISOWEEKNUM(Semaine_1[[#This Row],[Date]])</f>
        <v>S08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"S0"&amp;_xlfn.ISOWEEKNUM(Semaine_1[[#This Row],[Date]])</f>
        <v>S08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"S0"&amp;_xlfn.ISOWEEKNUM(Semaine_1[[#This Row],[Date]])</f>
        <v>S08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"S0"&amp;_xlfn.ISOWEEKNUM(Semaine_1[[#This Row],[Date]])</f>
        <v>S08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"S0"&amp;_xlfn.ISOWEEKNUM(Semaine_1[[#This Row],[Date]])</f>
        <v>S08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"S0"&amp;_xlfn.ISOWEEKNUM(Semaine_1[[#This Row],[Date]])</f>
        <v>S08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"S0"&amp;_xlfn.ISOWEEKNUM(Semaine_1[[#This Row],[Date]])</f>
        <v>S08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"S0"&amp;_xlfn.ISOWEEKNUM(Semaine_1[[#This Row],[Date]])</f>
        <v>S08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"S0"&amp;_xlfn.ISOWEEKNUM(Semaine_1[[#This Row],[Date]])</f>
        <v>S08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"S0"&amp;_xlfn.ISOWEEKNUM(Semaine_1[[#This Row],[Date]])</f>
        <v>S08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"S0"&amp;_xlfn.ISOWEEKNUM(Semaine_1[[#This Row],[Date]])</f>
        <v>S08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"S0"&amp;_xlfn.ISOWEEKNUM(Semaine_1[[#This Row],[Date]])</f>
        <v>S08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"S0"&amp;_xlfn.ISOWEEKNUM(Semaine_1[[#This Row],[Date]])</f>
        <v>S08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"S0"&amp;_xlfn.ISOWEEKNUM(Semaine_1[[#This Row],[Date]])</f>
        <v>S08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"S0"&amp;_xlfn.ISOWEEKNUM(Semaine_1[[#This Row],[Date]])</f>
        <v>S08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"S0"&amp;_xlfn.ISOWEEKNUM(Semaine_1[[#This Row],[Date]])</f>
        <v>S08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"S0"&amp;_xlfn.ISOWEEKNUM(Semaine_1[[#This Row],[Date]])</f>
        <v>S08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"S0"&amp;_xlfn.ISOWEEKNUM(Semaine_1[[#This Row],[Date]])</f>
        <v>S08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"S0"&amp;_xlfn.ISOWEEKNUM(Semaine_1[[#This Row],[Date]])</f>
        <v>S08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"S0"&amp;_xlfn.ISOWEEKNUM(Semaine_1[[#This Row],[Date]])</f>
        <v>S08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"S0"&amp;_xlfn.ISOWEEKNUM(Semaine_1[[#This Row],[Date]])</f>
        <v>S08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"S0"&amp;_xlfn.ISOWEEKNUM(Semaine_1[[#This Row],[Date]])</f>
        <v>S08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"S0"&amp;_xlfn.ISOWEEKNUM(Semaine_1[[#This Row],[Date]])</f>
        <v>S08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"S0"&amp;_xlfn.ISOWEEKNUM(Semaine_1[[#This Row],[Date]])</f>
        <v>S08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"S0"&amp;_xlfn.ISOWEEKNUM(Semaine_1[[#This Row],[Date]])</f>
        <v>S08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"S0"&amp;_xlfn.ISOWEEKNUM(Semaine_1[[#This Row],[Date]])</f>
        <v>S08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"S0"&amp;_xlfn.ISOWEEKNUM(Semaine_1[[#This Row],[Date]])</f>
        <v>S08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"S0"&amp;_xlfn.ISOWEEKNUM(Semaine_1[[#This Row],[Date]])</f>
        <v>S08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"S0"&amp;_xlfn.ISOWEEKNUM(Semaine_1[[#This Row],[Date]])</f>
        <v>S08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"S0"&amp;_xlfn.ISOWEEKNUM(Semaine_1[[#This Row],[Date]])</f>
        <v>S08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"S0"&amp;_xlfn.ISOWEEKNUM(Semaine_1[[#This Row],[Date]])</f>
        <v>S08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"S0"&amp;_xlfn.ISOWEEKNUM(Semaine_1[[#This Row],[Date]])</f>
        <v>S08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"S0"&amp;_xlfn.ISOWEEKNUM(Semaine_1[[#This Row],[Date]])</f>
        <v>S08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"S0"&amp;_xlfn.ISOWEEKNUM(Semaine_1[[#This Row],[Date]])</f>
        <v>S08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"S0"&amp;_xlfn.ISOWEEKNUM(Semaine_1[[#This Row],[Date]])</f>
        <v>S08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"S0"&amp;_xlfn.ISOWEEKNUM(Semaine_1[[#This Row],[Date]])</f>
        <v>S08</v>
      </c>
      <c r="P71" t="str">
        <f>TEXT(Semaine_1[[#This Row],[Date]],"MMMM")</f>
        <v>février</v>
      </c>
    </row>
    <row r="72" spans="1:16" ht="28.15" x14ac:dyDescent="0.45">
      <c r="A72" s="11">
        <v>46076</v>
      </c>
      <c r="B72" s="12" t="s">
        <v>39</v>
      </c>
      <c r="C72" s="12" t="s">
        <v>40</v>
      </c>
      <c r="D72" s="12" t="s">
        <v>43</v>
      </c>
      <c r="E72" s="12" t="s">
        <v>87</v>
      </c>
      <c r="F72" s="12">
        <v>776428218</v>
      </c>
      <c r="G72" s="12" t="s">
        <v>30</v>
      </c>
      <c r="H72" s="12" t="s">
        <v>13</v>
      </c>
      <c r="I72" s="12" t="s">
        <v>17</v>
      </c>
      <c r="J72" s="12" t="s">
        <v>21</v>
      </c>
      <c r="K72" s="12" t="s">
        <v>24</v>
      </c>
      <c r="L72" s="12">
        <v>20</v>
      </c>
      <c r="M72" s="13">
        <v>9500</v>
      </c>
      <c r="N72" s="13">
        <v>190000</v>
      </c>
      <c r="O72" s="14" t="str">
        <f>"S0"&amp;_xlfn.ISOWEEKNUM(Semaine_1[[#This Row],[Date]])</f>
        <v>S09</v>
      </c>
      <c r="P72" s="15" t="str">
        <f>TEXT(Semaine_1[[#This Row],[Date]],"MMMM")</f>
        <v>février</v>
      </c>
    </row>
    <row r="73" spans="1:16" ht="28.15" x14ac:dyDescent="0.45">
      <c r="A73" s="11">
        <v>46076</v>
      </c>
      <c r="B73" s="12" t="s">
        <v>39</v>
      </c>
      <c r="C73" s="12" t="s">
        <v>40</v>
      </c>
      <c r="D73" s="12" t="s">
        <v>44</v>
      </c>
      <c r="E73" s="12" t="s">
        <v>132</v>
      </c>
      <c r="F73" s="12">
        <v>774277399</v>
      </c>
      <c r="G73" s="12" t="s">
        <v>30</v>
      </c>
      <c r="H73" s="12" t="s">
        <v>13</v>
      </c>
      <c r="I73" s="12" t="s">
        <v>17</v>
      </c>
      <c r="J73" s="12" t="s">
        <v>21</v>
      </c>
      <c r="K73" s="12" t="s">
        <v>24</v>
      </c>
      <c r="L73" s="12">
        <v>20</v>
      </c>
      <c r="M73" s="13">
        <v>9500</v>
      </c>
      <c r="N73" s="13">
        <v>190000</v>
      </c>
      <c r="O73" s="14" t="str">
        <f>"S0"&amp;_xlfn.ISOWEEKNUM(Semaine_1[[#This Row],[Date]])</f>
        <v>S09</v>
      </c>
      <c r="P73" s="15" t="str">
        <f>TEXT(Semaine_1[[#This Row],[Date]],"MMMM")</f>
        <v>février</v>
      </c>
    </row>
    <row r="74" spans="1:16" ht="28.15" x14ac:dyDescent="0.45">
      <c r="A74" s="11">
        <v>46076</v>
      </c>
      <c r="B74" s="12" t="s">
        <v>14</v>
      </c>
      <c r="C74" s="12" t="s">
        <v>15</v>
      </c>
      <c r="D74" s="12" t="s">
        <v>59</v>
      </c>
      <c r="E74" s="12" t="s">
        <v>133</v>
      </c>
      <c r="F74" s="12">
        <v>778579191</v>
      </c>
      <c r="G74" s="12" t="s">
        <v>16</v>
      </c>
      <c r="H74" s="12" t="s">
        <v>13</v>
      </c>
      <c r="I74" s="12" t="s">
        <v>17</v>
      </c>
      <c r="J74" s="12" t="s">
        <v>17</v>
      </c>
      <c r="K74" s="12" t="s">
        <v>24</v>
      </c>
      <c r="L74" s="12">
        <v>30</v>
      </c>
      <c r="M74" s="13">
        <v>9750</v>
      </c>
      <c r="N74" s="13">
        <v>292500</v>
      </c>
      <c r="O74" s="14" t="str">
        <f>"S0"&amp;_xlfn.ISOWEEKNUM(Semaine_1[[#This Row],[Date]])</f>
        <v>S09</v>
      </c>
      <c r="P74" s="15" t="str">
        <f>TEXT(Semaine_1[[#This Row],[Date]],"MMMM")</f>
        <v>février</v>
      </c>
    </row>
    <row r="75" spans="1:16" ht="28.15" x14ac:dyDescent="0.45">
      <c r="A75" s="11">
        <v>46076</v>
      </c>
      <c r="B75" s="12" t="s">
        <v>14</v>
      </c>
      <c r="C75" s="12" t="s">
        <v>15</v>
      </c>
      <c r="D75" s="12" t="s">
        <v>85</v>
      </c>
      <c r="E75" s="12" t="s">
        <v>134</v>
      </c>
      <c r="F75" s="12">
        <v>774414059</v>
      </c>
      <c r="G75" s="12" t="s">
        <v>16</v>
      </c>
      <c r="H75" s="12" t="s">
        <v>13</v>
      </c>
      <c r="I75" s="12" t="s">
        <v>17</v>
      </c>
      <c r="J75" s="12" t="s">
        <v>65</v>
      </c>
      <c r="K75" s="12" t="s">
        <v>34</v>
      </c>
      <c r="L75" s="12">
        <v>25</v>
      </c>
      <c r="M75" s="13">
        <v>9250</v>
      </c>
      <c r="N75" s="13">
        <v>231250</v>
      </c>
      <c r="O75" s="14" t="str">
        <f>"S0"&amp;_xlfn.ISOWEEKNUM(Semaine_1[[#This Row],[Date]])</f>
        <v>S09</v>
      </c>
      <c r="P75" s="15" t="str">
        <f>TEXT(Semaine_1[[#This Row],[Date]],"MMMM")</f>
        <v>février</v>
      </c>
    </row>
    <row r="76" spans="1:16" ht="28.15" x14ac:dyDescent="0.45">
      <c r="A76" s="11">
        <v>46076</v>
      </c>
      <c r="B76" s="12" t="s">
        <v>14</v>
      </c>
      <c r="C76" s="12" t="s">
        <v>15</v>
      </c>
      <c r="D76" s="12" t="s">
        <v>59</v>
      </c>
      <c r="E76" s="12" t="s">
        <v>91</v>
      </c>
      <c r="F76" s="12">
        <v>779486095</v>
      </c>
      <c r="G76" s="12" t="s">
        <v>16</v>
      </c>
      <c r="H76" s="12" t="s">
        <v>13</v>
      </c>
      <c r="I76" s="12" t="s">
        <v>17</v>
      </c>
      <c r="J76" s="12" t="s">
        <v>65</v>
      </c>
      <c r="K76" s="12" t="s">
        <v>77</v>
      </c>
      <c r="L76" s="12">
        <v>25</v>
      </c>
      <c r="M76" s="13">
        <v>18000</v>
      </c>
      <c r="N76" s="13">
        <v>450000</v>
      </c>
      <c r="O76" s="14" t="str">
        <f>"S0"&amp;_xlfn.ISOWEEKNUM(Semaine_1[[#This Row],[Date]])</f>
        <v>S09</v>
      </c>
      <c r="P76" s="15" t="str">
        <f>TEXT(Semaine_1[[#This Row],[Date]],"MMMM")</f>
        <v>février</v>
      </c>
    </row>
    <row r="77" spans="1:16" ht="28.15" x14ac:dyDescent="0.45">
      <c r="A77" s="11">
        <v>46076</v>
      </c>
      <c r="B77" s="12" t="s">
        <v>14</v>
      </c>
      <c r="C77" s="12" t="s">
        <v>15</v>
      </c>
      <c r="D77" s="12" t="s">
        <v>59</v>
      </c>
      <c r="E77" s="12" t="s">
        <v>135</v>
      </c>
      <c r="F77" s="12">
        <v>779676016</v>
      </c>
      <c r="G77" s="12" t="s">
        <v>16</v>
      </c>
      <c r="H77" s="12" t="s">
        <v>13</v>
      </c>
      <c r="I77" s="12" t="s">
        <v>17</v>
      </c>
      <c r="J77" s="12" t="s">
        <v>65</v>
      </c>
      <c r="K77" s="12" t="s">
        <v>56</v>
      </c>
      <c r="L77" s="12">
        <v>50</v>
      </c>
      <c r="M77" s="13">
        <v>11000</v>
      </c>
      <c r="N77" s="13">
        <v>550000</v>
      </c>
      <c r="O77" s="14" t="str">
        <f>"S0"&amp;_xlfn.ISOWEEKNUM(Semaine_1[[#This Row],[Date]])</f>
        <v>S09</v>
      </c>
      <c r="P77" s="15" t="str">
        <f>TEXT(Semaine_1[[#This Row],[Date]],"MMMM")</f>
        <v>février</v>
      </c>
    </row>
    <row r="78" spans="1:16" ht="28.15" x14ac:dyDescent="0.45">
      <c r="A78" s="11">
        <v>46076</v>
      </c>
      <c r="B78" s="12" t="s">
        <v>39</v>
      </c>
      <c r="C78" s="12" t="s">
        <v>40</v>
      </c>
      <c r="D78" s="12" t="s">
        <v>44</v>
      </c>
      <c r="E78" s="12" t="s">
        <v>136</v>
      </c>
      <c r="F78" s="12">
        <v>786323232</v>
      </c>
      <c r="G78" s="12" t="s">
        <v>16</v>
      </c>
      <c r="H78" s="12" t="s">
        <v>13</v>
      </c>
      <c r="I78" s="12" t="s">
        <v>17</v>
      </c>
      <c r="J78" s="12" t="s">
        <v>21</v>
      </c>
      <c r="K78" s="12" t="s">
        <v>34</v>
      </c>
      <c r="L78" s="12">
        <v>25</v>
      </c>
      <c r="M78" s="13">
        <v>9250</v>
      </c>
      <c r="N78" s="13">
        <v>231250</v>
      </c>
      <c r="O78" s="14" t="str">
        <f>"S0"&amp;_xlfn.ISOWEEKNUM(Semaine_1[[#This Row],[Date]])</f>
        <v>S09</v>
      </c>
      <c r="P78" s="15" t="str">
        <f>TEXT(Semaine_1[[#This Row],[Date]],"MMMM")</f>
        <v>février</v>
      </c>
    </row>
    <row r="79" spans="1:16" ht="28.15" x14ac:dyDescent="0.45">
      <c r="A79" s="11">
        <v>46076</v>
      </c>
      <c r="B79" s="12" t="s">
        <v>39</v>
      </c>
      <c r="C79" s="12" t="s">
        <v>40</v>
      </c>
      <c r="D79" s="12" t="s">
        <v>137</v>
      </c>
      <c r="E79" s="12" t="s">
        <v>138</v>
      </c>
      <c r="F79" s="12">
        <v>768059355</v>
      </c>
      <c r="G79" s="12" t="s">
        <v>16</v>
      </c>
      <c r="H79" s="12" t="s">
        <v>13</v>
      </c>
      <c r="I79" s="12" t="s">
        <v>17</v>
      </c>
      <c r="J79" s="12" t="s">
        <v>21</v>
      </c>
      <c r="K79" s="12" t="s">
        <v>24</v>
      </c>
      <c r="L79" s="12">
        <v>60</v>
      </c>
      <c r="M79" s="13">
        <v>9500</v>
      </c>
      <c r="N79" s="13">
        <v>570000</v>
      </c>
      <c r="O79" s="14" t="str">
        <f>"S0"&amp;_xlfn.ISOWEEKNUM(Semaine_1[[#This Row],[Date]])</f>
        <v>S09</v>
      </c>
      <c r="P79" s="15" t="str">
        <f>TEXT(Semaine_1[[#This Row],[Date]],"MMMM")</f>
        <v>février</v>
      </c>
    </row>
    <row r="80" spans="1:16" x14ac:dyDescent="0.45">
      <c r="A80" s="11">
        <v>46076</v>
      </c>
      <c r="B80" s="12" t="s">
        <v>31</v>
      </c>
      <c r="C80" s="12" t="s">
        <v>32</v>
      </c>
      <c r="D80" s="12" t="s">
        <v>35</v>
      </c>
      <c r="E80" s="12" t="s">
        <v>139</v>
      </c>
      <c r="F80" s="12">
        <v>773817561</v>
      </c>
      <c r="G80" s="12" t="s">
        <v>16</v>
      </c>
      <c r="H80" s="12" t="s">
        <v>13</v>
      </c>
      <c r="I80" s="12" t="s">
        <v>17</v>
      </c>
      <c r="J80" s="12" t="s">
        <v>49</v>
      </c>
      <c r="K80" s="12" t="s">
        <v>51</v>
      </c>
      <c r="L80" s="12">
        <v>1</v>
      </c>
      <c r="M80" s="13">
        <v>33500</v>
      </c>
      <c r="N80" s="13">
        <v>33500</v>
      </c>
      <c r="O80" s="14" t="str">
        <f>"S0"&amp;_xlfn.ISOWEEKNUM(Semaine_1[[#This Row],[Date]])</f>
        <v>S09</v>
      </c>
      <c r="P80" s="15" t="str">
        <f>TEXT(Semaine_1[[#This Row],[Date]],"MMMM")</f>
        <v>février</v>
      </c>
    </row>
    <row r="81" spans="1:16" x14ac:dyDescent="0.45">
      <c r="A81" s="11">
        <v>46076</v>
      </c>
      <c r="B81" s="12" t="s">
        <v>31</v>
      </c>
      <c r="C81" s="12" t="s">
        <v>32</v>
      </c>
      <c r="D81" s="12" t="s">
        <v>35</v>
      </c>
      <c r="E81" s="12" t="s">
        <v>139</v>
      </c>
      <c r="F81" s="12">
        <v>773817561</v>
      </c>
      <c r="G81" s="12" t="s">
        <v>16</v>
      </c>
      <c r="H81" s="12" t="s">
        <v>13</v>
      </c>
      <c r="I81" s="12" t="s">
        <v>17</v>
      </c>
      <c r="J81" s="12" t="s">
        <v>49</v>
      </c>
      <c r="K81" s="12" t="s">
        <v>56</v>
      </c>
      <c r="L81" s="12">
        <v>7</v>
      </c>
      <c r="M81" s="13">
        <v>12000</v>
      </c>
      <c r="N81" s="13">
        <v>84000</v>
      </c>
      <c r="O81" s="14" t="str">
        <f>"S0"&amp;_xlfn.ISOWEEKNUM(Semaine_1[[#This Row],[Date]])</f>
        <v>S09</v>
      </c>
      <c r="P81" s="15" t="str">
        <f>TEXT(Semaine_1[[#This Row],[Date]],"MMMM")</f>
        <v>février</v>
      </c>
    </row>
    <row r="82" spans="1:16" x14ac:dyDescent="0.45">
      <c r="A82" s="11">
        <v>46076</v>
      </c>
      <c r="B82" s="12" t="s">
        <v>31</v>
      </c>
      <c r="C82" s="12" t="s">
        <v>32</v>
      </c>
      <c r="D82" s="12" t="s">
        <v>47</v>
      </c>
      <c r="E82" s="12" t="s">
        <v>48</v>
      </c>
      <c r="F82" s="12">
        <v>777096402</v>
      </c>
      <c r="G82" s="12" t="s">
        <v>16</v>
      </c>
      <c r="H82" s="12" t="s">
        <v>13</v>
      </c>
      <c r="I82" s="12" t="s">
        <v>17</v>
      </c>
      <c r="J82" s="12" t="s">
        <v>33</v>
      </c>
      <c r="K82" s="12" t="s">
        <v>24</v>
      </c>
      <c r="L82" s="12">
        <v>10</v>
      </c>
      <c r="M82" s="13">
        <v>9750</v>
      </c>
      <c r="N82" s="13">
        <v>97500</v>
      </c>
      <c r="O82" s="14" t="str">
        <f>"S0"&amp;_xlfn.ISOWEEKNUM(Semaine_1[[#This Row],[Date]])</f>
        <v>S09</v>
      </c>
      <c r="P82" s="15" t="str">
        <f>TEXT(Semaine_1[[#This Row],[Date]],"MMMM")</f>
        <v>février</v>
      </c>
    </row>
    <row r="83" spans="1:16" x14ac:dyDescent="0.45">
      <c r="A83" s="11">
        <v>46076</v>
      </c>
      <c r="B83" s="12" t="s">
        <v>31</v>
      </c>
      <c r="C83" s="12" t="s">
        <v>32</v>
      </c>
      <c r="D83" s="12" t="s">
        <v>47</v>
      </c>
      <c r="E83" s="12" t="s">
        <v>48</v>
      </c>
      <c r="F83" s="12">
        <v>777096402</v>
      </c>
      <c r="G83" s="12" t="s">
        <v>16</v>
      </c>
      <c r="H83" s="12" t="s">
        <v>13</v>
      </c>
      <c r="I83" s="12" t="s">
        <v>17</v>
      </c>
      <c r="J83" s="12" t="s">
        <v>33</v>
      </c>
      <c r="K83" s="12" t="s">
        <v>24</v>
      </c>
      <c r="L83" s="12">
        <v>10</v>
      </c>
      <c r="M83" s="13">
        <v>9750</v>
      </c>
      <c r="N83" s="13">
        <v>97500</v>
      </c>
      <c r="O83" s="14" t="str">
        <f>"S0"&amp;_xlfn.ISOWEEKNUM(Semaine_1[[#This Row],[Date]])</f>
        <v>S09</v>
      </c>
      <c r="P83" s="15" t="str">
        <f>TEXT(Semaine_1[[#This Row],[Date]],"MMMM")</f>
        <v>février</v>
      </c>
    </row>
    <row r="84" spans="1:16" x14ac:dyDescent="0.45">
      <c r="A84" s="11">
        <v>46076</v>
      </c>
      <c r="B84" s="12" t="s">
        <v>31</v>
      </c>
      <c r="C84" s="12" t="s">
        <v>32</v>
      </c>
      <c r="D84" s="12" t="s">
        <v>35</v>
      </c>
      <c r="E84" s="12" t="s">
        <v>52</v>
      </c>
      <c r="F84" s="12">
        <v>777262311</v>
      </c>
      <c r="G84" s="12" t="s">
        <v>16</v>
      </c>
      <c r="H84" s="12" t="s">
        <v>13</v>
      </c>
      <c r="I84" s="12" t="s">
        <v>17</v>
      </c>
      <c r="J84" s="12" t="s">
        <v>33</v>
      </c>
      <c r="K84" s="12" t="s">
        <v>24</v>
      </c>
      <c r="L84" s="12">
        <v>5</v>
      </c>
      <c r="M84" s="13">
        <v>9750</v>
      </c>
      <c r="N84" s="13">
        <v>48750</v>
      </c>
      <c r="O84" s="14" t="str">
        <f>"S0"&amp;_xlfn.ISOWEEKNUM(Semaine_1[[#This Row],[Date]])</f>
        <v>S09</v>
      </c>
      <c r="P84" s="15" t="str">
        <f>TEXT(Semaine_1[[#This Row],[Date]],"MMMM")</f>
        <v>février</v>
      </c>
    </row>
    <row r="85" spans="1:16" x14ac:dyDescent="0.45">
      <c r="A85" s="11">
        <v>46076</v>
      </c>
      <c r="B85" s="12" t="s">
        <v>31</v>
      </c>
      <c r="C85" s="12" t="s">
        <v>32</v>
      </c>
      <c r="D85" s="12" t="s">
        <v>35</v>
      </c>
      <c r="E85" s="12" t="s">
        <v>52</v>
      </c>
      <c r="F85" s="12">
        <v>777262311</v>
      </c>
      <c r="G85" s="12" t="s">
        <v>16</v>
      </c>
      <c r="H85" s="12" t="s">
        <v>13</v>
      </c>
      <c r="I85" s="12" t="s">
        <v>17</v>
      </c>
      <c r="J85" s="12" t="s">
        <v>33</v>
      </c>
      <c r="K85" s="12" t="s">
        <v>56</v>
      </c>
      <c r="L85" s="12">
        <v>5</v>
      </c>
      <c r="M85" s="13">
        <v>12000</v>
      </c>
      <c r="N85" s="13">
        <v>60000</v>
      </c>
      <c r="O85" s="14" t="str">
        <f>"S0"&amp;_xlfn.ISOWEEKNUM(Semaine_1[[#This Row],[Date]])</f>
        <v>S09</v>
      </c>
      <c r="P85" s="15" t="str">
        <f>TEXT(Semaine_1[[#This Row],[Date]],"MMMM")</f>
        <v>février</v>
      </c>
    </row>
    <row r="86" spans="1:16" ht="28.15" x14ac:dyDescent="0.45">
      <c r="A86" s="11">
        <v>46078</v>
      </c>
      <c r="B86" s="12" t="s">
        <v>14</v>
      </c>
      <c r="C86" s="12" t="s">
        <v>15</v>
      </c>
      <c r="D86" s="12" t="s">
        <v>85</v>
      </c>
      <c r="E86" s="12" t="s">
        <v>140</v>
      </c>
      <c r="F86" s="12">
        <v>772873297</v>
      </c>
      <c r="G86" s="12" t="s">
        <v>30</v>
      </c>
      <c r="H86" s="12" t="s">
        <v>13</v>
      </c>
      <c r="I86" s="12" t="s">
        <v>17</v>
      </c>
      <c r="J86" s="12" t="s">
        <v>17</v>
      </c>
      <c r="K86" s="12" t="s">
        <v>105</v>
      </c>
      <c r="L86" s="12">
        <v>45</v>
      </c>
      <c r="M86" s="13">
        <v>12500</v>
      </c>
      <c r="N86" s="13">
        <v>562500</v>
      </c>
      <c r="O86" s="14" t="str">
        <f>"S0"&amp;_xlfn.ISOWEEKNUM(Semaine_1[[#This Row],[Date]])</f>
        <v>S09</v>
      </c>
      <c r="P86" s="15" t="str">
        <f>TEXT(Semaine_1[[#This Row],[Date]],"MMMM")</f>
        <v>février</v>
      </c>
    </row>
    <row r="87" spans="1:16" x14ac:dyDescent="0.45">
      <c r="A87" s="11">
        <v>46078</v>
      </c>
      <c r="B87" s="12" t="s">
        <v>74</v>
      </c>
      <c r="C87" s="12" t="s">
        <v>67</v>
      </c>
      <c r="D87" s="12" t="s">
        <v>67</v>
      </c>
      <c r="E87" s="12" t="s">
        <v>141</v>
      </c>
      <c r="F87" s="12">
        <v>775039973</v>
      </c>
      <c r="G87" s="12" t="s">
        <v>16</v>
      </c>
      <c r="H87" s="12" t="s">
        <v>13</v>
      </c>
      <c r="I87" s="12" t="s">
        <v>17</v>
      </c>
      <c r="J87" s="12" t="s">
        <v>142</v>
      </c>
      <c r="K87" s="12" t="s">
        <v>37</v>
      </c>
      <c r="L87" s="12">
        <v>25</v>
      </c>
      <c r="M87" s="13">
        <v>26000</v>
      </c>
      <c r="N87" s="13">
        <v>650000</v>
      </c>
      <c r="O87" s="14" t="str">
        <f>"S0"&amp;_xlfn.ISOWEEKNUM(Semaine_1[[#This Row],[Date]])</f>
        <v>S09</v>
      </c>
      <c r="P87" s="15" t="str">
        <f>TEXT(Semaine_1[[#This Row],[Date]],"MMMM")</f>
        <v>février</v>
      </c>
    </row>
    <row r="88" spans="1:16" ht="28.15" x14ac:dyDescent="0.45">
      <c r="A88" s="11">
        <v>46078</v>
      </c>
      <c r="B88" s="12" t="s">
        <v>79</v>
      </c>
      <c r="C88" s="12" t="s">
        <v>22</v>
      </c>
      <c r="D88" s="12" t="s">
        <v>23</v>
      </c>
      <c r="E88" s="12" t="s">
        <v>143</v>
      </c>
      <c r="F88" s="12">
        <v>778356666</v>
      </c>
      <c r="G88" s="12" t="s">
        <v>16</v>
      </c>
      <c r="H88" s="12" t="s">
        <v>13</v>
      </c>
      <c r="I88" s="12" t="s">
        <v>17</v>
      </c>
      <c r="J88" s="12" t="s">
        <v>21</v>
      </c>
      <c r="K88" s="12" t="s">
        <v>37</v>
      </c>
      <c r="L88" s="12">
        <v>25</v>
      </c>
      <c r="M88" s="13">
        <v>26000</v>
      </c>
      <c r="N88" s="13">
        <v>650000</v>
      </c>
      <c r="O88" s="14" t="str">
        <f>"S0"&amp;_xlfn.ISOWEEKNUM(Semaine_1[[#This Row],[Date]])</f>
        <v>S09</v>
      </c>
      <c r="P88" s="15" t="str">
        <f>TEXT(Semaine_1[[#This Row],[Date]],"MMMM")</f>
        <v>février</v>
      </c>
    </row>
    <row r="89" spans="1:16" x14ac:dyDescent="0.45">
      <c r="A89" s="11">
        <v>46078</v>
      </c>
      <c r="B89" s="12" t="s">
        <v>31</v>
      </c>
      <c r="C89" s="12" t="s">
        <v>32</v>
      </c>
      <c r="D89" s="12" t="s">
        <v>41</v>
      </c>
      <c r="E89" s="12" t="s">
        <v>144</v>
      </c>
      <c r="F89" s="12">
        <v>780172121</v>
      </c>
      <c r="G89" s="12" t="s">
        <v>16</v>
      </c>
      <c r="H89" s="12" t="s">
        <v>13</v>
      </c>
      <c r="I89" s="12" t="s">
        <v>17</v>
      </c>
      <c r="J89" s="12" t="s">
        <v>145</v>
      </c>
      <c r="K89" s="12" t="s">
        <v>56</v>
      </c>
      <c r="L89" s="12">
        <v>1</v>
      </c>
      <c r="M89" s="13">
        <v>12000</v>
      </c>
      <c r="N89" s="13">
        <v>12000</v>
      </c>
      <c r="O89" s="14" t="str">
        <f>"S0"&amp;_xlfn.ISOWEEKNUM(Semaine_1[[#This Row],[Date]])</f>
        <v>S09</v>
      </c>
      <c r="P89" s="15" t="str">
        <f>TEXT(Semaine_1[[#This Row],[Date]],"MMMM")</f>
        <v>février</v>
      </c>
    </row>
    <row r="90" spans="1:16" x14ac:dyDescent="0.45">
      <c r="A90" s="11">
        <v>46078</v>
      </c>
      <c r="B90" s="12" t="s">
        <v>31</v>
      </c>
      <c r="C90" s="12" t="s">
        <v>32</v>
      </c>
      <c r="D90" s="12" t="s">
        <v>35</v>
      </c>
      <c r="E90" s="12" t="s">
        <v>119</v>
      </c>
      <c r="F90" s="12">
        <v>777972938</v>
      </c>
      <c r="G90" s="12" t="s">
        <v>30</v>
      </c>
      <c r="H90" s="12" t="s">
        <v>13</v>
      </c>
      <c r="I90" s="12" t="s">
        <v>17</v>
      </c>
      <c r="J90" s="12" t="s">
        <v>146</v>
      </c>
      <c r="K90" s="12" t="s">
        <v>56</v>
      </c>
      <c r="L90" s="12">
        <v>3</v>
      </c>
      <c r="M90" s="13">
        <v>12000</v>
      </c>
      <c r="N90" s="13">
        <v>36000</v>
      </c>
      <c r="O90" s="14" t="str">
        <f>"S0"&amp;_xlfn.ISOWEEKNUM(Semaine_1[[#This Row],[Date]])</f>
        <v>S09</v>
      </c>
      <c r="P90" s="15" t="str">
        <f>TEXT(Semaine_1[[#This Row],[Date]],"MMMM")</f>
        <v>février</v>
      </c>
    </row>
    <row r="91" spans="1:16" x14ac:dyDescent="0.45">
      <c r="A91" s="11">
        <v>46078</v>
      </c>
      <c r="B91" s="12" t="s">
        <v>31</v>
      </c>
      <c r="C91" s="12" t="s">
        <v>32</v>
      </c>
      <c r="D91" s="12" t="s">
        <v>35</v>
      </c>
      <c r="E91" s="12" t="s">
        <v>119</v>
      </c>
      <c r="F91" s="12">
        <v>777972938</v>
      </c>
      <c r="G91" s="12" t="s">
        <v>30</v>
      </c>
      <c r="H91" s="12" t="s">
        <v>13</v>
      </c>
      <c r="I91" s="12" t="s">
        <v>17</v>
      </c>
      <c r="J91" s="12" t="s">
        <v>146</v>
      </c>
      <c r="K91" s="12" t="s">
        <v>51</v>
      </c>
      <c r="L91" s="12">
        <v>2</v>
      </c>
      <c r="M91" s="13">
        <v>33500</v>
      </c>
      <c r="N91" s="13">
        <v>67000</v>
      </c>
      <c r="O91" s="14" t="str">
        <f>"S0"&amp;_xlfn.ISOWEEKNUM(Semaine_1[[#This Row],[Date]])</f>
        <v>S09</v>
      </c>
      <c r="P91" s="15" t="str">
        <f>TEXT(Semaine_1[[#This Row],[Date]],"MMMM")</f>
        <v>février</v>
      </c>
    </row>
    <row r="92" spans="1:16" x14ac:dyDescent="0.45">
      <c r="A92" s="11">
        <v>46078</v>
      </c>
      <c r="B92" s="12" t="s">
        <v>31</v>
      </c>
      <c r="C92" s="12" t="s">
        <v>32</v>
      </c>
      <c r="D92" s="12" t="s">
        <v>35</v>
      </c>
      <c r="E92" s="12" t="s">
        <v>119</v>
      </c>
      <c r="F92" s="12">
        <v>777972938</v>
      </c>
      <c r="G92" s="12" t="s">
        <v>30</v>
      </c>
      <c r="H92" s="12" t="s">
        <v>13</v>
      </c>
      <c r="I92" s="12" t="s">
        <v>17</v>
      </c>
      <c r="J92" s="12" t="s">
        <v>146</v>
      </c>
      <c r="K92" s="12" t="s">
        <v>64</v>
      </c>
      <c r="L92" s="12">
        <v>2</v>
      </c>
      <c r="M92" s="13">
        <v>33500</v>
      </c>
      <c r="N92" s="13">
        <v>67000</v>
      </c>
      <c r="O92" s="14" t="str">
        <f>"S0"&amp;_xlfn.ISOWEEKNUM(Semaine_1[[#This Row],[Date]])</f>
        <v>S09</v>
      </c>
      <c r="P92" s="15" t="str">
        <f>TEXT(Semaine_1[[#This Row],[Date]],"MMMM")</f>
        <v>février</v>
      </c>
    </row>
    <row r="93" spans="1:16" x14ac:dyDescent="0.45">
      <c r="A93" s="11">
        <v>46078</v>
      </c>
      <c r="B93" s="12" t="s">
        <v>31</v>
      </c>
      <c r="C93" s="12" t="s">
        <v>32</v>
      </c>
      <c r="D93" s="12" t="s">
        <v>35</v>
      </c>
      <c r="E93" s="12" t="s">
        <v>119</v>
      </c>
      <c r="F93" s="12">
        <v>777972938</v>
      </c>
      <c r="G93" s="12" t="s">
        <v>30</v>
      </c>
      <c r="H93" s="12" t="s">
        <v>13</v>
      </c>
      <c r="I93" s="12" t="s">
        <v>17</v>
      </c>
      <c r="J93" s="12" t="s">
        <v>146</v>
      </c>
      <c r="K93" s="12" t="s">
        <v>147</v>
      </c>
      <c r="L93" s="12">
        <v>1</v>
      </c>
      <c r="M93" s="13">
        <v>17500</v>
      </c>
      <c r="N93" s="13">
        <v>17500</v>
      </c>
      <c r="O93" s="14" t="str">
        <f>"S0"&amp;_xlfn.ISOWEEKNUM(Semaine_1[[#This Row],[Date]])</f>
        <v>S09</v>
      </c>
      <c r="P93" s="15" t="str">
        <f>TEXT(Semaine_1[[#This Row],[Date]],"MMMM")</f>
        <v>février</v>
      </c>
    </row>
    <row r="94" spans="1:16" x14ac:dyDescent="0.45">
      <c r="A94" s="11">
        <v>46078</v>
      </c>
      <c r="B94" s="12" t="s">
        <v>31</v>
      </c>
      <c r="C94" s="12" t="s">
        <v>32</v>
      </c>
      <c r="D94" s="12" t="s">
        <v>35</v>
      </c>
      <c r="E94" s="12" t="s">
        <v>119</v>
      </c>
      <c r="F94" s="12">
        <v>777972938</v>
      </c>
      <c r="G94" s="12" t="s">
        <v>30</v>
      </c>
      <c r="H94" s="12" t="s">
        <v>13</v>
      </c>
      <c r="I94" s="12" t="s">
        <v>17</v>
      </c>
      <c r="J94" s="12" t="s">
        <v>146</v>
      </c>
      <c r="K94" s="12" t="s">
        <v>37</v>
      </c>
      <c r="L94" s="12">
        <v>2</v>
      </c>
      <c r="M94" s="13">
        <v>26000</v>
      </c>
      <c r="N94" s="13">
        <v>52000</v>
      </c>
      <c r="O94" s="14" t="str">
        <f>"S0"&amp;_xlfn.ISOWEEKNUM(Semaine_1[[#This Row],[Date]])</f>
        <v>S09</v>
      </c>
      <c r="P94" s="15" t="str">
        <f>TEXT(Semaine_1[[#This Row],[Date]],"MMMM")</f>
        <v>février</v>
      </c>
    </row>
    <row r="95" spans="1:16" x14ac:dyDescent="0.45">
      <c r="A95" s="11">
        <v>46078</v>
      </c>
      <c r="B95" s="12" t="s">
        <v>31</v>
      </c>
      <c r="C95" s="12" t="s">
        <v>32</v>
      </c>
      <c r="D95" s="12" t="s">
        <v>41</v>
      </c>
      <c r="E95" s="12" t="s">
        <v>58</v>
      </c>
      <c r="F95" s="12">
        <v>775894235</v>
      </c>
      <c r="G95" s="12" t="s">
        <v>16</v>
      </c>
      <c r="H95" s="12" t="s">
        <v>13</v>
      </c>
      <c r="I95" s="12" t="s">
        <v>17</v>
      </c>
      <c r="J95" s="12" t="s">
        <v>145</v>
      </c>
      <c r="K95" s="12" t="s">
        <v>56</v>
      </c>
      <c r="L95" s="12">
        <v>25</v>
      </c>
      <c r="M95" s="13">
        <v>12000</v>
      </c>
      <c r="N95" s="13">
        <v>300000</v>
      </c>
      <c r="O95" s="14" t="str">
        <f>"S0"&amp;_xlfn.ISOWEEKNUM(Semaine_1[[#This Row],[Date]])</f>
        <v>S09</v>
      </c>
      <c r="P95" s="15" t="str">
        <f>TEXT(Semaine_1[[#This Row],[Date]],"MMMM")</f>
        <v>février</v>
      </c>
    </row>
    <row r="96" spans="1:16" x14ac:dyDescent="0.45">
      <c r="A96" s="11">
        <v>46078</v>
      </c>
      <c r="B96" s="12" t="s">
        <v>74</v>
      </c>
      <c r="C96" s="12" t="s">
        <v>67</v>
      </c>
      <c r="D96" s="12" t="s">
        <v>68</v>
      </c>
      <c r="E96" s="12" t="s">
        <v>148</v>
      </c>
      <c r="F96" s="12">
        <v>774379845</v>
      </c>
      <c r="G96" s="12" t="s">
        <v>30</v>
      </c>
      <c r="H96" s="12" t="s">
        <v>13</v>
      </c>
      <c r="I96" s="12" t="s">
        <v>17</v>
      </c>
      <c r="J96" s="12" t="s">
        <v>149</v>
      </c>
      <c r="K96" s="12" t="s">
        <v>37</v>
      </c>
      <c r="L96" s="12">
        <v>25</v>
      </c>
      <c r="M96" s="13">
        <v>26000</v>
      </c>
      <c r="N96" s="13">
        <v>650000</v>
      </c>
      <c r="O96" s="14" t="str">
        <f>"S0"&amp;_xlfn.ISOWEEKNUM(Semaine_1[[#This Row],[Date]])</f>
        <v>S09</v>
      </c>
      <c r="P96" s="15" t="str">
        <f>TEXT(Semaine_1[[#This Row],[Date]],"MMMM")</f>
        <v>février</v>
      </c>
    </row>
    <row r="97" spans="1:16" ht="28.15" x14ac:dyDescent="0.45">
      <c r="A97" s="11">
        <v>46078</v>
      </c>
      <c r="B97" s="12" t="s">
        <v>79</v>
      </c>
      <c r="C97" s="12" t="s">
        <v>22</v>
      </c>
      <c r="D97" s="12" t="s">
        <v>23</v>
      </c>
      <c r="E97" s="12" t="s">
        <v>143</v>
      </c>
      <c r="F97" s="12">
        <v>778356666</v>
      </c>
      <c r="G97" s="12" t="s">
        <v>16</v>
      </c>
      <c r="H97" s="12" t="s">
        <v>13</v>
      </c>
      <c r="I97" s="12" t="s">
        <v>17</v>
      </c>
      <c r="J97" s="12" t="s">
        <v>21</v>
      </c>
      <c r="K97" s="12" t="s">
        <v>77</v>
      </c>
      <c r="L97" s="12">
        <v>5</v>
      </c>
      <c r="M97" s="13">
        <v>18000</v>
      </c>
      <c r="N97" s="13">
        <v>90000</v>
      </c>
      <c r="O97" s="14" t="str">
        <f>"S0"&amp;_xlfn.ISOWEEKNUM(Semaine_1[[#This Row],[Date]])</f>
        <v>S09</v>
      </c>
      <c r="P97" s="15" t="str">
        <f>TEXT(Semaine_1[[#This Row],[Date]],"MMMM")</f>
        <v>février</v>
      </c>
    </row>
    <row r="98" spans="1:16" ht="28.15" x14ac:dyDescent="0.45">
      <c r="A98" s="11">
        <v>46078</v>
      </c>
      <c r="B98" s="12" t="s">
        <v>79</v>
      </c>
      <c r="C98" s="12" t="s">
        <v>22</v>
      </c>
      <c r="D98" s="12" t="s">
        <v>23</v>
      </c>
      <c r="E98" s="12" t="s">
        <v>143</v>
      </c>
      <c r="F98" s="12">
        <v>778356666</v>
      </c>
      <c r="G98" s="12" t="s">
        <v>16</v>
      </c>
      <c r="H98" s="12" t="s">
        <v>13</v>
      </c>
      <c r="I98" s="12" t="s">
        <v>17</v>
      </c>
      <c r="J98" s="12" t="s">
        <v>21</v>
      </c>
      <c r="K98" s="12" t="s">
        <v>88</v>
      </c>
      <c r="L98" s="12">
        <v>2</v>
      </c>
      <c r="M98" s="13">
        <v>18000</v>
      </c>
      <c r="N98" s="13">
        <v>36000</v>
      </c>
      <c r="O98" s="14" t="str">
        <f>"S0"&amp;_xlfn.ISOWEEKNUM(Semaine_1[[#This Row],[Date]])</f>
        <v>S09</v>
      </c>
      <c r="P98" s="15" t="str">
        <f>TEXT(Semaine_1[[#This Row],[Date]],"MMMM")</f>
        <v>février</v>
      </c>
    </row>
    <row r="99" spans="1:16" x14ac:dyDescent="0.45">
      <c r="A99" s="11">
        <v>46079</v>
      </c>
      <c r="B99" s="12" t="s">
        <v>28</v>
      </c>
      <c r="C99" s="12" t="s">
        <v>29</v>
      </c>
      <c r="D99" s="12" t="s">
        <v>150</v>
      </c>
      <c r="E99" s="12" t="s">
        <v>151</v>
      </c>
      <c r="F99" s="12">
        <v>774061052</v>
      </c>
      <c r="G99" s="12" t="s">
        <v>16</v>
      </c>
      <c r="H99" s="12" t="s">
        <v>13</v>
      </c>
      <c r="I99" s="12" t="s">
        <v>17</v>
      </c>
      <c r="J99" s="12" t="s">
        <v>21</v>
      </c>
      <c r="K99" s="12" t="s">
        <v>37</v>
      </c>
      <c r="L99" s="12">
        <v>50</v>
      </c>
      <c r="M99" s="13">
        <v>26000</v>
      </c>
      <c r="N99" s="13">
        <v>1300000</v>
      </c>
      <c r="O99" s="14" t="str">
        <f>"S0"&amp;_xlfn.ISOWEEKNUM(Semaine_1[[#This Row],[Date]])</f>
        <v>S09</v>
      </c>
      <c r="P99" s="15" t="str">
        <f>TEXT(Semaine_1[[#This Row],[Date]],"MMMM")</f>
        <v>février</v>
      </c>
    </row>
    <row r="100" spans="1:16" ht="28.15" x14ac:dyDescent="0.45">
      <c r="A100" s="11">
        <v>46079</v>
      </c>
      <c r="B100" s="12" t="s">
        <v>25</v>
      </c>
      <c r="C100" s="12" t="s">
        <v>26</v>
      </c>
      <c r="D100" s="12" t="s">
        <v>152</v>
      </c>
      <c r="E100" s="12" t="s">
        <v>153</v>
      </c>
      <c r="F100" s="12">
        <v>774446240</v>
      </c>
      <c r="G100" s="12" t="s">
        <v>16</v>
      </c>
      <c r="H100" s="12" t="s">
        <v>13</v>
      </c>
      <c r="I100" s="12" t="s">
        <v>17</v>
      </c>
      <c r="J100" s="12" t="s">
        <v>27</v>
      </c>
      <c r="K100" s="12" t="s">
        <v>34</v>
      </c>
      <c r="L100" s="12">
        <v>25</v>
      </c>
      <c r="M100" s="13">
        <v>9250</v>
      </c>
      <c r="N100" s="13">
        <v>231250</v>
      </c>
      <c r="O100" s="14" t="str">
        <f>"S0"&amp;_xlfn.ISOWEEKNUM(Semaine_1[[#This Row],[Date]])</f>
        <v>S09</v>
      </c>
      <c r="P100" s="15" t="str">
        <f>TEXT(Semaine_1[[#This Row],[Date]],"MMMM")</f>
        <v>février</v>
      </c>
    </row>
    <row r="101" spans="1:16" x14ac:dyDescent="0.45">
      <c r="A101" s="11">
        <v>46079</v>
      </c>
      <c r="B101" s="12" t="s">
        <v>31</v>
      </c>
      <c r="C101" s="12" t="s">
        <v>32</v>
      </c>
      <c r="D101" s="12" t="s">
        <v>47</v>
      </c>
      <c r="E101" s="12" t="s">
        <v>154</v>
      </c>
      <c r="F101" s="12">
        <v>771166914</v>
      </c>
      <c r="G101" s="12" t="s">
        <v>30</v>
      </c>
      <c r="H101" s="12" t="s">
        <v>13</v>
      </c>
      <c r="I101" s="12" t="s">
        <v>17</v>
      </c>
      <c r="J101" s="12" t="s">
        <v>33</v>
      </c>
      <c r="K101" s="12" t="s">
        <v>37</v>
      </c>
      <c r="L101" s="12">
        <v>1</v>
      </c>
      <c r="M101" s="13">
        <v>26000</v>
      </c>
      <c r="N101" s="13">
        <v>26000</v>
      </c>
      <c r="O101" s="14" t="str">
        <f>"S0"&amp;_xlfn.ISOWEEKNUM(Semaine_1[[#This Row],[Date]])</f>
        <v>S09</v>
      </c>
      <c r="P101" s="15" t="str">
        <f>TEXT(Semaine_1[[#This Row],[Date]],"MMMM")</f>
        <v>février</v>
      </c>
    </row>
    <row r="102" spans="1:16" x14ac:dyDescent="0.45">
      <c r="A102" s="11">
        <v>46079</v>
      </c>
      <c r="B102" s="12" t="s">
        <v>31</v>
      </c>
      <c r="C102" s="12" t="s">
        <v>32</v>
      </c>
      <c r="D102" s="12" t="s">
        <v>35</v>
      </c>
      <c r="E102" s="12" t="s">
        <v>139</v>
      </c>
      <c r="F102" s="12">
        <v>773817561</v>
      </c>
      <c r="G102" s="12" t="s">
        <v>16</v>
      </c>
      <c r="H102" s="12" t="s">
        <v>13</v>
      </c>
      <c r="I102" s="12" t="s">
        <v>17</v>
      </c>
      <c r="J102" s="12" t="s">
        <v>155</v>
      </c>
      <c r="K102" s="12" t="s">
        <v>107</v>
      </c>
      <c r="L102" s="12">
        <v>31</v>
      </c>
      <c r="M102" s="13">
        <v>6000</v>
      </c>
      <c r="N102" s="13">
        <v>186000</v>
      </c>
      <c r="O102" s="14" t="str">
        <f>"S0"&amp;_xlfn.ISOWEEKNUM(Semaine_1[[#This Row],[Date]])</f>
        <v>S09</v>
      </c>
      <c r="P102" s="15" t="str">
        <f>TEXT(Semaine_1[[#This Row],[Date]],"MMMM")</f>
        <v>février</v>
      </c>
    </row>
    <row r="103" spans="1:16" x14ac:dyDescent="0.45">
      <c r="A103" s="11">
        <v>46079</v>
      </c>
      <c r="B103" s="12" t="s">
        <v>31</v>
      </c>
      <c r="C103" s="12" t="s">
        <v>32</v>
      </c>
      <c r="D103" s="12" t="s">
        <v>156</v>
      </c>
      <c r="E103" s="12" t="s">
        <v>157</v>
      </c>
      <c r="F103" s="12">
        <v>775079426</v>
      </c>
      <c r="G103" s="12" t="s">
        <v>30</v>
      </c>
      <c r="H103" s="12" t="s">
        <v>158</v>
      </c>
      <c r="I103" s="12" t="s">
        <v>17</v>
      </c>
      <c r="J103" s="12" t="s">
        <v>145</v>
      </c>
      <c r="K103" s="12" t="s">
        <v>56</v>
      </c>
      <c r="L103" s="12">
        <v>1</v>
      </c>
      <c r="M103" s="13">
        <v>12000</v>
      </c>
      <c r="N103" s="13">
        <v>12000</v>
      </c>
      <c r="O103" s="14" t="str">
        <f>"S0"&amp;_xlfn.ISOWEEKNUM(Semaine_1[[#This Row],[Date]])</f>
        <v>S09</v>
      </c>
      <c r="P103" s="15" t="str">
        <f>TEXT(Semaine_1[[#This Row],[Date]],"MMMM")</f>
        <v>février</v>
      </c>
    </row>
    <row r="104" spans="1:16" ht="28.15" x14ac:dyDescent="0.45">
      <c r="A104" s="11">
        <v>46079</v>
      </c>
      <c r="B104" s="12" t="s">
        <v>39</v>
      </c>
      <c r="C104" s="12" t="s">
        <v>40</v>
      </c>
      <c r="D104" s="12" t="s">
        <v>43</v>
      </c>
      <c r="E104" s="12" t="s">
        <v>50</v>
      </c>
      <c r="F104" s="12">
        <v>774245132</v>
      </c>
      <c r="G104" s="12" t="s">
        <v>16</v>
      </c>
      <c r="H104" s="12" t="s">
        <v>13</v>
      </c>
      <c r="I104" s="12" t="s">
        <v>17</v>
      </c>
      <c r="J104" s="12" t="s">
        <v>21</v>
      </c>
      <c r="K104" s="12" t="s">
        <v>37</v>
      </c>
      <c r="L104" s="12">
        <v>25</v>
      </c>
      <c r="M104" s="13">
        <v>26000</v>
      </c>
      <c r="N104" s="13">
        <v>650000</v>
      </c>
      <c r="O104" s="14" t="str">
        <f>"S0"&amp;_xlfn.ISOWEEKNUM(Semaine_1[[#This Row],[Date]])</f>
        <v>S09</v>
      </c>
      <c r="P104" s="15" t="str">
        <f>TEXT(Semaine_1[[#This Row],[Date]],"MMMM")</f>
        <v>février</v>
      </c>
    </row>
    <row r="105" spans="1:16" ht="28.15" x14ac:dyDescent="0.45">
      <c r="A105" s="11">
        <v>46079</v>
      </c>
      <c r="B105" s="12" t="s">
        <v>39</v>
      </c>
      <c r="C105" s="12" t="s">
        <v>40</v>
      </c>
      <c r="D105" s="12" t="s">
        <v>159</v>
      </c>
      <c r="E105" s="12" t="s">
        <v>160</v>
      </c>
      <c r="F105" s="12">
        <v>773777037</v>
      </c>
      <c r="G105" s="12" t="s">
        <v>16</v>
      </c>
      <c r="H105" s="12" t="s">
        <v>13</v>
      </c>
      <c r="I105" s="12" t="s">
        <v>17</v>
      </c>
      <c r="J105" s="12" t="s">
        <v>21</v>
      </c>
      <c r="K105" s="12" t="s">
        <v>37</v>
      </c>
      <c r="L105" s="12">
        <v>25</v>
      </c>
      <c r="M105" s="13">
        <v>26000</v>
      </c>
      <c r="N105" s="13">
        <v>650000</v>
      </c>
      <c r="O105" s="14" t="str">
        <f>"S0"&amp;_xlfn.ISOWEEKNUM(Semaine_1[[#This Row],[Date]])</f>
        <v>S09</v>
      </c>
      <c r="P105" s="15" t="str">
        <f>TEXT(Semaine_1[[#This Row],[Date]],"MMMM")</f>
        <v>février</v>
      </c>
    </row>
    <row r="106" spans="1:16" ht="28.15" x14ac:dyDescent="0.45">
      <c r="A106" s="11">
        <v>46079</v>
      </c>
      <c r="B106" s="12" t="s">
        <v>79</v>
      </c>
      <c r="C106" s="12" t="s">
        <v>22</v>
      </c>
      <c r="D106" s="12" t="s">
        <v>161</v>
      </c>
      <c r="E106" s="12" t="s">
        <v>162</v>
      </c>
      <c r="F106" s="12">
        <v>774216339</v>
      </c>
      <c r="G106" s="12" t="s">
        <v>16</v>
      </c>
      <c r="H106" s="12" t="s">
        <v>13</v>
      </c>
      <c r="I106" s="12" t="s">
        <v>17</v>
      </c>
      <c r="J106" s="12" t="s">
        <v>21</v>
      </c>
      <c r="K106" s="12" t="s">
        <v>37</v>
      </c>
      <c r="L106" s="12">
        <v>25</v>
      </c>
      <c r="M106" s="13">
        <v>26000</v>
      </c>
      <c r="N106" s="13">
        <v>650000</v>
      </c>
      <c r="O106" s="14" t="str">
        <f>"S0"&amp;_xlfn.ISOWEEKNUM(Semaine_1[[#This Row],[Date]])</f>
        <v>S09</v>
      </c>
      <c r="P106" s="15" t="str">
        <f>TEXT(Semaine_1[[#This Row],[Date]],"MMMM")</f>
        <v>février</v>
      </c>
    </row>
    <row r="107" spans="1:16" x14ac:dyDescent="0.45">
      <c r="A107" s="11">
        <v>46079</v>
      </c>
      <c r="B107" s="12" t="s">
        <v>28</v>
      </c>
      <c r="C107" s="12" t="s">
        <v>29</v>
      </c>
      <c r="D107" s="12" t="s">
        <v>42</v>
      </c>
      <c r="E107" s="12" t="s">
        <v>163</v>
      </c>
      <c r="F107" s="12">
        <v>772289185</v>
      </c>
      <c r="G107" s="12" t="s">
        <v>16</v>
      </c>
      <c r="H107" s="12" t="s">
        <v>13</v>
      </c>
      <c r="I107" s="12" t="s">
        <v>17</v>
      </c>
      <c r="J107" s="12" t="s">
        <v>21</v>
      </c>
      <c r="K107" s="12" t="s">
        <v>37</v>
      </c>
      <c r="L107" s="12">
        <v>25</v>
      </c>
      <c r="M107" s="13">
        <v>26000</v>
      </c>
      <c r="N107" s="13">
        <v>650000</v>
      </c>
      <c r="O107" s="14" t="str">
        <f>"S0"&amp;_xlfn.ISOWEEKNUM(Semaine_1[[#This Row],[Date]])</f>
        <v>S09</v>
      </c>
      <c r="P107" s="15" t="str">
        <f>TEXT(Semaine_1[[#This Row],[Date]],"MMMM")</f>
        <v>février</v>
      </c>
    </row>
    <row r="108" spans="1:16" x14ac:dyDescent="0.45">
      <c r="A108" s="11">
        <v>46079</v>
      </c>
      <c r="B108" s="12" t="s">
        <v>28</v>
      </c>
      <c r="C108" s="12" t="s">
        <v>29</v>
      </c>
      <c r="D108" s="12" t="s">
        <v>42</v>
      </c>
      <c r="E108" s="12" t="s">
        <v>163</v>
      </c>
      <c r="F108" s="12">
        <v>772289185</v>
      </c>
      <c r="G108" s="12" t="s">
        <v>16</v>
      </c>
      <c r="H108" s="12" t="s">
        <v>13</v>
      </c>
      <c r="I108" s="12" t="s">
        <v>17</v>
      </c>
      <c r="J108" s="12" t="s">
        <v>21</v>
      </c>
      <c r="K108" s="12" t="s">
        <v>147</v>
      </c>
      <c r="L108" s="12">
        <v>1</v>
      </c>
      <c r="M108" s="13">
        <v>17500</v>
      </c>
      <c r="N108" s="13">
        <v>17500</v>
      </c>
      <c r="O108" s="14" t="str">
        <f>"S0"&amp;_xlfn.ISOWEEKNUM(Semaine_1[[#This Row],[Date]])</f>
        <v>S09</v>
      </c>
      <c r="P108" s="15" t="str">
        <f>TEXT(Semaine_1[[#This Row],[Date]],"MMMM")</f>
        <v>février</v>
      </c>
    </row>
    <row r="109" spans="1:16" x14ac:dyDescent="0.45">
      <c r="A109" s="11">
        <v>46079</v>
      </c>
      <c r="B109" s="12" t="s">
        <v>28</v>
      </c>
      <c r="C109" s="12" t="s">
        <v>29</v>
      </c>
      <c r="D109" s="12" t="s">
        <v>42</v>
      </c>
      <c r="E109" s="12" t="s">
        <v>163</v>
      </c>
      <c r="F109" s="12">
        <v>772289185</v>
      </c>
      <c r="G109" s="12" t="s">
        <v>16</v>
      </c>
      <c r="H109" s="12" t="s">
        <v>13</v>
      </c>
      <c r="I109" s="12" t="s">
        <v>17</v>
      </c>
      <c r="J109" s="12" t="s">
        <v>21</v>
      </c>
      <c r="K109" s="12" t="s">
        <v>34</v>
      </c>
      <c r="L109" s="12">
        <v>3</v>
      </c>
      <c r="M109" s="13">
        <v>9250</v>
      </c>
      <c r="N109" s="13">
        <v>27750</v>
      </c>
      <c r="O109" s="14" t="str">
        <f>"S0"&amp;_xlfn.ISOWEEKNUM(Semaine_1[[#This Row],[Date]])</f>
        <v>S09</v>
      </c>
      <c r="P109" s="15" t="str">
        <f>TEXT(Semaine_1[[#This Row],[Date]],"MMMM")</f>
        <v>février</v>
      </c>
    </row>
    <row r="110" spans="1:16" x14ac:dyDescent="0.45">
      <c r="A110" s="11">
        <v>46079</v>
      </c>
      <c r="B110" s="12" t="s">
        <v>28</v>
      </c>
      <c r="C110" s="12" t="s">
        <v>29</v>
      </c>
      <c r="D110" s="12" t="s">
        <v>42</v>
      </c>
      <c r="E110" s="12" t="s">
        <v>163</v>
      </c>
      <c r="F110" s="12">
        <v>772289185</v>
      </c>
      <c r="G110" s="12" t="s">
        <v>16</v>
      </c>
      <c r="H110" s="12" t="s">
        <v>13</v>
      </c>
      <c r="I110" s="12" t="s">
        <v>17</v>
      </c>
      <c r="J110" s="12" t="s">
        <v>21</v>
      </c>
      <c r="K110" s="12" t="s">
        <v>77</v>
      </c>
      <c r="L110" s="12">
        <v>1</v>
      </c>
      <c r="M110" s="13">
        <v>18000</v>
      </c>
      <c r="N110" s="13">
        <v>18000</v>
      </c>
      <c r="O110" s="14" t="str">
        <f>"S0"&amp;_xlfn.ISOWEEKNUM(Semaine_1[[#This Row],[Date]])</f>
        <v>S09</v>
      </c>
      <c r="P110" s="15" t="str">
        <f>TEXT(Semaine_1[[#This Row],[Date]],"MMMM")</f>
        <v>février</v>
      </c>
    </row>
    <row r="111" spans="1:16" x14ac:dyDescent="0.45">
      <c r="A111" s="11">
        <v>46079</v>
      </c>
      <c r="B111" s="12" t="s">
        <v>28</v>
      </c>
      <c r="C111" s="12" t="s">
        <v>29</v>
      </c>
      <c r="D111" s="12" t="s">
        <v>150</v>
      </c>
      <c r="E111" s="12" t="s">
        <v>164</v>
      </c>
      <c r="F111" s="12">
        <v>771355863</v>
      </c>
      <c r="G111" s="12" t="s">
        <v>16</v>
      </c>
      <c r="H111" s="12" t="s">
        <v>13</v>
      </c>
      <c r="I111" s="12" t="s">
        <v>17</v>
      </c>
      <c r="J111" s="12" t="s">
        <v>21</v>
      </c>
      <c r="K111" s="12" t="s">
        <v>37</v>
      </c>
      <c r="L111" s="12">
        <v>25</v>
      </c>
      <c r="M111" s="13">
        <v>26000</v>
      </c>
      <c r="N111" s="13">
        <v>650000</v>
      </c>
      <c r="O111" s="14" t="str">
        <f>"S0"&amp;_xlfn.ISOWEEKNUM(Semaine_1[[#This Row],[Date]])</f>
        <v>S09</v>
      </c>
      <c r="P111" s="15" t="str">
        <f>TEXT(Semaine_1[[#This Row],[Date]],"MMMM")</f>
        <v>février</v>
      </c>
    </row>
    <row r="112" spans="1:16" x14ac:dyDescent="0.45">
      <c r="A112" s="11">
        <v>46079</v>
      </c>
      <c r="B112" s="12" t="s">
        <v>31</v>
      </c>
      <c r="C112" s="12" t="s">
        <v>32</v>
      </c>
      <c r="D112" s="12" t="s">
        <v>35</v>
      </c>
      <c r="E112" s="12" t="s">
        <v>139</v>
      </c>
      <c r="F112" s="12">
        <v>773817561</v>
      </c>
      <c r="G112" s="12" t="s">
        <v>16</v>
      </c>
      <c r="H112" s="12" t="s">
        <v>13</v>
      </c>
      <c r="I112" s="12" t="s">
        <v>17</v>
      </c>
      <c r="J112" s="12" t="s">
        <v>155</v>
      </c>
      <c r="K112" s="12" t="s">
        <v>37</v>
      </c>
      <c r="L112" s="12">
        <v>4</v>
      </c>
      <c r="M112" s="13">
        <v>26000</v>
      </c>
      <c r="N112" s="13">
        <v>104000</v>
      </c>
      <c r="O112" s="14" t="str">
        <f>"S0"&amp;_xlfn.ISOWEEKNUM(Semaine_1[[#This Row],[Date]])</f>
        <v>S09</v>
      </c>
      <c r="P112" s="15" t="str">
        <f>TEXT(Semaine_1[[#This Row],[Date]],"MMMM")</f>
        <v>février</v>
      </c>
    </row>
    <row r="113" spans="1:16" ht="28.15" x14ac:dyDescent="0.45">
      <c r="A113" s="11">
        <v>46079</v>
      </c>
      <c r="B113" s="12" t="s">
        <v>109</v>
      </c>
      <c r="C113" s="12" t="s">
        <v>15</v>
      </c>
      <c r="D113" s="12" t="s">
        <v>165</v>
      </c>
      <c r="E113" s="12" t="s">
        <v>166</v>
      </c>
      <c r="F113" s="12">
        <v>783596501</v>
      </c>
      <c r="G113" s="12" t="s">
        <v>62</v>
      </c>
      <c r="H113" s="12" t="s">
        <v>13</v>
      </c>
      <c r="I113" s="12" t="s">
        <v>17</v>
      </c>
      <c r="J113" s="12" t="s">
        <v>167</v>
      </c>
      <c r="K113" s="12" t="s">
        <v>37</v>
      </c>
      <c r="L113" s="12">
        <v>1</v>
      </c>
      <c r="M113" s="13">
        <v>26000</v>
      </c>
      <c r="N113" s="13">
        <v>26000</v>
      </c>
      <c r="O113" s="14" t="str">
        <f>"S0"&amp;_xlfn.ISOWEEKNUM(Semaine_1[[#This Row],[Date]])</f>
        <v>S09</v>
      </c>
      <c r="P113" s="15" t="str">
        <f>TEXT(Semaine_1[[#This Row],[Date]],"MMMM")</f>
        <v>février</v>
      </c>
    </row>
    <row r="114" spans="1:16" ht="28.15" x14ac:dyDescent="0.45">
      <c r="A114" s="11">
        <v>46079</v>
      </c>
      <c r="B114" s="12" t="s">
        <v>109</v>
      </c>
      <c r="C114" s="12" t="s">
        <v>15</v>
      </c>
      <c r="D114" s="12" t="s">
        <v>165</v>
      </c>
      <c r="E114" s="12" t="s">
        <v>166</v>
      </c>
      <c r="F114" s="12">
        <v>783596501</v>
      </c>
      <c r="G114" s="12" t="s">
        <v>62</v>
      </c>
      <c r="H114" s="12" t="s">
        <v>13</v>
      </c>
      <c r="I114" s="12" t="s">
        <v>17</v>
      </c>
      <c r="J114" s="12" t="s">
        <v>167</v>
      </c>
      <c r="K114" s="12" t="s">
        <v>34</v>
      </c>
      <c r="L114" s="12">
        <v>2</v>
      </c>
      <c r="M114" s="13">
        <v>9250</v>
      </c>
      <c r="N114" s="13">
        <v>18500</v>
      </c>
      <c r="O114" s="14" t="str">
        <f>"S0"&amp;_xlfn.ISOWEEKNUM(Semaine_1[[#This Row],[Date]])</f>
        <v>S09</v>
      </c>
      <c r="P114" s="15" t="str">
        <f>TEXT(Semaine_1[[#This Row],[Date]],"MMMM")</f>
        <v>février</v>
      </c>
    </row>
    <row r="115" spans="1:16" ht="28.15" x14ac:dyDescent="0.45">
      <c r="A115" s="11">
        <v>46079</v>
      </c>
      <c r="B115" s="12" t="s">
        <v>109</v>
      </c>
      <c r="C115" s="12" t="s">
        <v>15</v>
      </c>
      <c r="D115" s="12" t="s">
        <v>168</v>
      </c>
      <c r="E115" s="12" t="s">
        <v>115</v>
      </c>
      <c r="F115" s="12">
        <v>761760410</v>
      </c>
      <c r="G115" s="12" t="s">
        <v>110</v>
      </c>
      <c r="H115" s="12" t="s">
        <v>13</v>
      </c>
      <c r="I115" s="12" t="s">
        <v>17</v>
      </c>
      <c r="J115" s="12" t="s">
        <v>169</v>
      </c>
      <c r="K115" s="12" t="s">
        <v>34</v>
      </c>
      <c r="L115" s="12">
        <v>1</v>
      </c>
      <c r="M115" s="13">
        <v>9250</v>
      </c>
      <c r="N115" s="13">
        <v>9250</v>
      </c>
      <c r="O115" s="14" t="str">
        <f>"S0"&amp;_xlfn.ISOWEEKNUM(Semaine_1[[#This Row],[Date]])</f>
        <v>S09</v>
      </c>
      <c r="P115" s="15" t="str">
        <f>TEXT(Semaine_1[[#This Row],[Date]],"MMMM")</f>
        <v>février</v>
      </c>
    </row>
    <row r="116" spans="1:16" ht="28.15" x14ac:dyDescent="0.45">
      <c r="A116" s="11">
        <v>46079</v>
      </c>
      <c r="B116" s="12" t="s">
        <v>109</v>
      </c>
      <c r="C116" s="12" t="s">
        <v>15</v>
      </c>
      <c r="D116" s="12" t="s">
        <v>168</v>
      </c>
      <c r="E116" s="12" t="s">
        <v>115</v>
      </c>
      <c r="F116" s="12">
        <v>761760410</v>
      </c>
      <c r="G116" s="12" t="s">
        <v>110</v>
      </c>
      <c r="H116" s="12" t="s">
        <v>13</v>
      </c>
      <c r="I116" s="12" t="s">
        <v>17</v>
      </c>
      <c r="J116" s="12" t="s">
        <v>169</v>
      </c>
      <c r="K116" s="12" t="s">
        <v>56</v>
      </c>
      <c r="L116" s="12">
        <v>1</v>
      </c>
      <c r="M116" s="13">
        <v>12000</v>
      </c>
      <c r="N116" s="13">
        <v>12000</v>
      </c>
      <c r="O116" s="14" t="str">
        <f>"S0"&amp;_xlfn.ISOWEEKNUM(Semaine_1[[#This Row],[Date]])</f>
        <v>S09</v>
      </c>
      <c r="P116" s="15" t="str">
        <f>TEXT(Semaine_1[[#This Row],[Date]],"MMMM")</f>
        <v>février</v>
      </c>
    </row>
    <row r="117" spans="1:16" ht="28.15" x14ac:dyDescent="0.45">
      <c r="A117" s="11">
        <v>46080</v>
      </c>
      <c r="B117" s="12" t="s">
        <v>25</v>
      </c>
      <c r="C117" s="12" t="s">
        <v>26</v>
      </c>
      <c r="D117" s="12" t="s">
        <v>38</v>
      </c>
      <c r="E117" s="12" t="s">
        <v>170</v>
      </c>
      <c r="F117" s="12">
        <v>776175166</v>
      </c>
      <c r="G117" s="12" t="s">
        <v>16</v>
      </c>
      <c r="H117" s="12" t="s">
        <v>13</v>
      </c>
      <c r="I117" s="12" t="s">
        <v>17</v>
      </c>
      <c r="J117" s="12" t="s">
        <v>81</v>
      </c>
      <c r="K117" s="12" t="s">
        <v>37</v>
      </c>
      <c r="L117" s="12">
        <v>100</v>
      </c>
      <c r="M117" s="13">
        <v>26000</v>
      </c>
      <c r="N117" s="13">
        <v>2600000</v>
      </c>
      <c r="O117" s="14" t="str">
        <f>"S0"&amp;_xlfn.ISOWEEKNUM(Semaine_1[[#This Row],[Date]])</f>
        <v>S09</v>
      </c>
      <c r="P117" s="15" t="str">
        <f>TEXT(Semaine_1[[#This Row],[Date]],"MMMM")</f>
        <v>février</v>
      </c>
    </row>
    <row r="118" spans="1:16" ht="28.15" x14ac:dyDescent="0.45">
      <c r="A118" s="11">
        <v>46079</v>
      </c>
      <c r="B118" s="12" t="s">
        <v>25</v>
      </c>
      <c r="C118" s="12" t="s">
        <v>26</v>
      </c>
      <c r="D118" s="12" t="s">
        <v>152</v>
      </c>
      <c r="E118" s="12" t="s">
        <v>153</v>
      </c>
      <c r="F118" s="12">
        <v>774446240</v>
      </c>
      <c r="G118" s="12" t="s">
        <v>16</v>
      </c>
      <c r="H118" s="12" t="s">
        <v>13</v>
      </c>
      <c r="I118" s="12" t="s">
        <v>17</v>
      </c>
      <c r="J118" s="12" t="s">
        <v>27</v>
      </c>
      <c r="K118" s="12" t="s">
        <v>34</v>
      </c>
      <c r="L118" s="12">
        <v>25</v>
      </c>
      <c r="M118" s="13">
        <v>9250</v>
      </c>
      <c r="N118" s="13">
        <v>231250</v>
      </c>
      <c r="O118" s="14" t="str">
        <f>"S0"&amp;_xlfn.ISOWEEKNUM(Semaine_1[[#This Row],[Date]])</f>
        <v>S09</v>
      </c>
      <c r="P118" s="15" t="str">
        <f>TEXT(Semaine_1[[#This Row],[Date]],"MMMM")</f>
        <v>février</v>
      </c>
    </row>
    <row r="119" spans="1:16" ht="28.15" x14ac:dyDescent="0.45">
      <c r="A119" s="11">
        <v>46079</v>
      </c>
      <c r="B119" s="12" t="s">
        <v>79</v>
      </c>
      <c r="C119" s="12" t="s">
        <v>22</v>
      </c>
      <c r="D119" s="12" t="s">
        <v>161</v>
      </c>
      <c r="E119" s="12" t="s">
        <v>162</v>
      </c>
      <c r="F119" s="12">
        <v>774216339</v>
      </c>
      <c r="G119" s="12" t="s">
        <v>16</v>
      </c>
      <c r="H119" s="12" t="s">
        <v>13</v>
      </c>
      <c r="I119" s="12" t="s">
        <v>17</v>
      </c>
      <c r="J119" s="12" t="s">
        <v>21</v>
      </c>
      <c r="K119" s="12" t="s">
        <v>37</v>
      </c>
      <c r="L119" s="12">
        <v>25</v>
      </c>
      <c r="M119" s="13">
        <v>26000</v>
      </c>
      <c r="N119" s="13">
        <v>650000</v>
      </c>
      <c r="O119" s="14" t="str">
        <f>"S0"&amp;_xlfn.ISOWEEKNUM(Semaine_1[[#This Row],[Date]])</f>
        <v>S09</v>
      </c>
      <c r="P119" s="15" t="str">
        <f>TEXT(Semaine_1[[#This Row],[Date]],"MMMM")</f>
        <v>février</v>
      </c>
    </row>
    <row r="120" spans="1:16" x14ac:dyDescent="0.45">
      <c r="A120" s="11">
        <v>46079</v>
      </c>
      <c r="B120" s="12" t="s">
        <v>31</v>
      </c>
      <c r="C120" s="12" t="s">
        <v>32</v>
      </c>
      <c r="D120" s="12" t="s">
        <v>35</v>
      </c>
      <c r="E120" s="12" t="s">
        <v>139</v>
      </c>
      <c r="F120" s="12">
        <v>773817561</v>
      </c>
      <c r="G120" s="12" t="s">
        <v>16</v>
      </c>
      <c r="H120" s="12" t="s">
        <v>13</v>
      </c>
      <c r="I120" s="12" t="s">
        <v>17</v>
      </c>
      <c r="J120" s="12" t="s">
        <v>171</v>
      </c>
      <c r="K120" s="12" t="s">
        <v>107</v>
      </c>
      <c r="L120" s="12">
        <v>31</v>
      </c>
      <c r="M120" s="13">
        <v>6000</v>
      </c>
      <c r="N120" s="13">
        <v>186000</v>
      </c>
      <c r="O120" s="14" t="str">
        <f>"S0"&amp;_xlfn.ISOWEEKNUM(Semaine_1[[#This Row],[Date]])</f>
        <v>S09</v>
      </c>
      <c r="P120" s="15" t="str">
        <f>TEXT(Semaine_1[[#This Row],[Date]],"MMMM")</f>
        <v>février</v>
      </c>
    </row>
    <row r="121" spans="1:16" x14ac:dyDescent="0.45">
      <c r="A121" s="11">
        <v>46079</v>
      </c>
      <c r="B121" s="12" t="s">
        <v>31</v>
      </c>
      <c r="C121" s="12" t="s">
        <v>32</v>
      </c>
      <c r="D121" s="12" t="s">
        <v>35</v>
      </c>
      <c r="E121" s="12" t="s">
        <v>139</v>
      </c>
      <c r="F121" s="12">
        <v>773817561</v>
      </c>
      <c r="G121" s="12" t="s">
        <v>16</v>
      </c>
      <c r="H121" s="12" t="s">
        <v>13</v>
      </c>
      <c r="I121" s="12" t="s">
        <v>17</v>
      </c>
      <c r="J121" s="12" t="s">
        <v>171</v>
      </c>
      <c r="K121" s="12" t="s">
        <v>37</v>
      </c>
      <c r="L121" s="12">
        <v>3</v>
      </c>
      <c r="M121" s="13">
        <v>26000</v>
      </c>
      <c r="N121" s="13">
        <v>78000</v>
      </c>
      <c r="O121" s="14" t="str">
        <f>"S0"&amp;_xlfn.ISOWEEKNUM(Semaine_1[[#This Row],[Date]])</f>
        <v>S09</v>
      </c>
      <c r="P121" s="15" t="str">
        <f>TEXT(Semaine_1[[#This Row],[Date]],"MMMM")</f>
        <v>février</v>
      </c>
    </row>
    <row r="122" spans="1:16" x14ac:dyDescent="0.45">
      <c r="A122" s="11">
        <v>46079</v>
      </c>
      <c r="B122" s="12" t="s">
        <v>31</v>
      </c>
      <c r="C122" s="12" t="s">
        <v>32</v>
      </c>
      <c r="D122" s="12" t="s">
        <v>156</v>
      </c>
      <c r="E122" s="12" t="s">
        <v>157</v>
      </c>
      <c r="F122" s="12">
        <v>775079426</v>
      </c>
      <c r="G122" s="12" t="s">
        <v>30</v>
      </c>
      <c r="H122" s="12" t="s">
        <v>158</v>
      </c>
      <c r="I122" s="12" t="s">
        <v>17</v>
      </c>
      <c r="J122" s="12" t="s">
        <v>145</v>
      </c>
      <c r="K122" s="12" t="s">
        <v>56</v>
      </c>
      <c r="L122" s="12">
        <v>1</v>
      </c>
      <c r="M122" s="13">
        <v>12000</v>
      </c>
      <c r="N122" s="13">
        <v>12000</v>
      </c>
      <c r="O122" s="14" t="str">
        <f>"S0"&amp;_xlfn.ISOWEEKNUM(Semaine_1[[#This Row],[Date]])</f>
        <v>S09</v>
      </c>
      <c r="P122" s="15" t="str">
        <f>TEXT(Semaine_1[[#This Row],[Date]],"MMMM")</f>
        <v>février</v>
      </c>
    </row>
    <row r="123" spans="1:16" ht="28.15" x14ac:dyDescent="0.45">
      <c r="A123" s="11">
        <v>46079</v>
      </c>
      <c r="B123" s="12" t="s">
        <v>39</v>
      </c>
      <c r="C123" s="12" t="s">
        <v>40</v>
      </c>
      <c r="D123" s="12" t="s">
        <v>159</v>
      </c>
      <c r="E123" s="12" t="s">
        <v>160</v>
      </c>
      <c r="F123" s="12">
        <v>773777037</v>
      </c>
      <c r="G123" s="12" t="s">
        <v>16</v>
      </c>
      <c r="H123" s="12" t="s">
        <v>13</v>
      </c>
      <c r="I123" s="12" t="s">
        <v>17</v>
      </c>
      <c r="J123" s="12" t="s">
        <v>21</v>
      </c>
      <c r="K123" s="12" t="s">
        <v>37</v>
      </c>
      <c r="L123" s="12">
        <v>25</v>
      </c>
      <c r="M123" s="13">
        <v>26000</v>
      </c>
      <c r="N123" s="13">
        <v>650000</v>
      </c>
      <c r="O123" s="14" t="str">
        <f>"S0"&amp;_xlfn.ISOWEEKNUM(Semaine_1[[#This Row],[Date]])</f>
        <v>S09</v>
      </c>
      <c r="P123" s="15" t="str">
        <f>TEXT(Semaine_1[[#This Row],[Date]],"MMMM")</f>
        <v>février</v>
      </c>
    </row>
    <row r="124" spans="1:16" x14ac:dyDescent="0.45">
      <c r="A124" s="11">
        <v>46079</v>
      </c>
      <c r="B124" s="12" t="s">
        <v>28</v>
      </c>
      <c r="C124" s="12" t="s">
        <v>29</v>
      </c>
      <c r="D124" s="12" t="s">
        <v>42</v>
      </c>
      <c r="E124" s="12" t="s">
        <v>163</v>
      </c>
      <c r="F124" s="12">
        <v>772289185</v>
      </c>
      <c r="G124" s="12" t="s">
        <v>16</v>
      </c>
      <c r="H124" s="12" t="s">
        <v>13</v>
      </c>
      <c r="I124" s="12" t="s">
        <v>17</v>
      </c>
      <c r="J124" s="12" t="s">
        <v>21</v>
      </c>
      <c r="K124" s="12" t="s">
        <v>37</v>
      </c>
      <c r="L124" s="12">
        <v>25</v>
      </c>
      <c r="M124" s="13">
        <v>26000</v>
      </c>
      <c r="N124" s="13">
        <v>650000</v>
      </c>
      <c r="O124" s="14" t="str">
        <f>"S0"&amp;_xlfn.ISOWEEKNUM(Semaine_1[[#This Row],[Date]])</f>
        <v>S09</v>
      </c>
      <c r="P124" s="15" t="str">
        <f>TEXT(Semaine_1[[#This Row],[Date]],"MMMM")</f>
        <v>février</v>
      </c>
    </row>
    <row r="125" spans="1:16" x14ac:dyDescent="0.45">
      <c r="A125" s="11">
        <v>46079</v>
      </c>
      <c r="B125" s="12" t="s">
        <v>28</v>
      </c>
      <c r="C125" s="12" t="s">
        <v>29</v>
      </c>
      <c r="D125" s="12" t="s">
        <v>42</v>
      </c>
      <c r="E125" s="12" t="s">
        <v>163</v>
      </c>
      <c r="F125" s="12">
        <v>772289185</v>
      </c>
      <c r="G125" s="12" t="s">
        <v>16</v>
      </c>
      <c r="H125" s="12" t="s">
        <v>13</v>
      </c>
      <c r="I125" s="12" t="s">
        <v>17</v>
      </c>
      <c r="J125" s="12" t="s">
        <v>21</v>
      </c>
      <c r="K125" s="12" t="s">
        <v>147</v>
      </c>
      <c r="L125" s="12">
        <v>1</v>
      </c>
      <c r="M125" s="13">
        <v>17500</v>
      </c>
      <c r="N125" s="13">
        <v>17500</v>
      </c>
      <c r="O125" s="14" t="str">
        <f>"S0"&amp;_xlfn.ISOWEEKNUM(Semaine_1[[#This Row],[Date]])</f>
        <v>S09</v>
      </c>
      <c r="P125" s="15" t="str">
        <f>TEXT(Semaine_1[[#This Row],[Date]],"MMMM")</f>
        <v>février</v>
      </c>
    </row>
    <row r="126" spans="1:16" x14ac:dyDescent="0.45">
      <c r="A126" s="11">
        <v>46079</v>
      </c>
      <c r="B126" s="12" t="s">
        <v>28</v>
      </c>
      <c r="C126" s="12" t="s">
        <v>29</v>
      </c>
      <c r="D126" s="12" t="s">
        <v>42</v>
      </c>
      <c r="E126" s="12" t="s">
        <v>163</v>
      </c>
      <c r="F126" s="12">
        <v>772289185</v>
      </c>
      <c r="G126" s="12" t="s">
        <v>16</v>
      </c>
      <c r="H126" s="12" t="s">
        <v>13</v>
      </c>
      <c r="I126" s="12" t="s">
        <v>17</v>
      </c>
      <c r="J126" s="12" t="s">
        <v>21</v>
      </c>
      <c r="K126" s="12" t="s">
        <v>34</v>
      </c>
      <c r="L126" s="12">
        <v>3</v>
      </c>
      <c r="M126" s="13">
        <v>9250</v>
      </c>
      <c r="N126" s="13">
        <v>27750</v>
      </c>
      <c r="O126" s="14" t="str">
        <f>"S0"&amp;_xlfn.ISOWEEKNUM(Semaine_1[[#This Row],[Date]])</f>
        <v>S09</v>
      </c>
      <c r="P126" s="15" t="str">
        <f>TEXT(Semaine_1[[#This Row],[Date]],"MMMM")</f>
        <v>février</v>
      </c>
    </row>
    <row r="127" spans="1:16" x14ac:dyDescent="0.45">
      <c r="A127" s="11">
        <v>46079</v>
      </c>
      <c r="B127" s="12" t="s">
        <v>28</v>
      </c>
      <c r="C127" s="12" t="s">
        <v>29</v>
      </c>
      <c r="D127" s="12" t="s">
        <v>42</v>
      </c>
      <c r="E127" s="12" t="s">
        <v>163</v>
      </c>
      <c r="F127" s="12">
        <v>772289185</v>
      </c>
      <c r="G127" s="12" t="s">
        <v>16</v>
      </c>
      <c r="H127" s="12" t="s">
        <v>13</v>
      </c>
      <c r="I127" s="12" t="s">
        <v>17</v>
      </c>
      <c r="J127" s="12" t="s">
        <v>21</v>
      </c>
      <c r="K127" s="12" t="s">
        <v>77</v>
      </c>
      <c r="L127" s="12">
        <v>1</v>
      </c>
      <c r="M127" s="13">
        <v>18000</v>
      </c>
      <c r="N127" s="13">
        <v>18000</v>
      </c>
      <c r="O127" s="14" t="str">
        <f>"S0"&amp;_xlfn.ISOWEEKNUM(Semaine_1[[#This Row],[Date]])</f>
        <v>S09</v>
      </c>
      <c r="P127" s="15" t="str">
        <f>TEXT(Semaine_1[[#This Row],[Date]],"MMMM")</f>
        <v>février</v>
      </c>
    </row>
    <row r="128" spans="1:16" x14ac:dyDescent="0.45">
      <c r="A128" s="11">
        <v>46079</v>
      </c>
      <c r="B128" s="12" t="s">
        <v>28</v>
      </c>
      <c r="C128" s="12" t="s">
        <v>29</v>
      </c>
      <c r="D128" s="12" t="s">
        <v>150</v>
      </c>
      <c r="E128" s="12" t="s">
        <v>164</v>
      </c>
      <c r="F128" s="12">
        <v>771355863</v>
      </c>
      <c r="G128" s="12" t="s">
        <v>16</v>
      </c>
      <c r="H128" s="12" t="s">
        <v>13</v>
      </c>
      <c r="I128" s="12" t="s">
        <v>17</v>
      </c>
      <c r="J128" s="12" t="s">
        <v>21</v>
      </c>
      <c r="K128" s="12" t="s">
        <v>37</v>
      </c>
      <c r="L128" s="12">
        <v>25</v>
      </c>
      <c r="M128" s="13">
        <v>26000</v>
      </c>
      <c r="N128" s="13">
        <v>650000</v>
      </c>
      <c r="O128" s="14" t="str">
        <f>"S0"&amp;_xlfn.ISOWEEKNUM(Semaine_1[[#This Row],[Date]])</f>
        <v>S09</v>
      </c>
      <c r="P128" s="15" t="str">
        <f>TEXT(Semaine_1[[#This Row],[Date]],"MMMM")</f>
        <v>février</v>
      </c>
    </row>
    <row r="129" spans="1:16" x14ac:dyDescent="0.45">
      <c r="A129" s="11">
        <v>46079</v>
      </c>
      <c r="B129" s="12" t="s">
        <v>28</v>
      </c>
      <c r="C129" s="12" t="s">
        <v>29</v>
      </c>
      <c r="D129" s="12" t="s">
        <v>150</v>
      </c>
      <c r="E129" s="12" t="s">
        <v>151</v>
      </c>
      <c r="F129" s="12">
        <v>774061052</v>
      </c>
      <c r="G129" s="12" t="s">
        <v>16</v>
      </c>
      <c r="H129" s="12" t="s">
        <v>13</v>
      </c>
      <c r="I129" s="12" t="s">
        <v>17</v>
      </c>
      <c r="J129" s="12" t="s">
        <v>21</v>
      </c>
      <c r="K129" s="12" t="s">
        <v>37</v>
      </c>
      <c r="L129" s="12">
        <v>50</v>
      </c>
      <c r="M129" s="13">
        <v>26000</v>
      </c>
      <c r="N129" s="13">
        <v>1300000</v>
      </c>
      <c r="O129" s="14" t="str">
        <f>"S0"&amp;_xlfn.ISOWEEKNUM(Semaine_1[[#This Row],[Date]])</f>
        <v>S09</v>
      </c>
      <c r="P129" s="15" t="str">
        <f>TEXT(Semaine_1[[#This Row],[Date]],"MMMM")</f>
        <v>février</v>
      </c>
    </row>
    <row r="130" spans="1:16" x14ac:dyDescent="0.45">
      <c r="A130" s="11">
        <v>46079</v>
      </c>
      <c r="B130" s="12" t="s">
        <v>31</v>
      </c>
      <c r="C130" s="12" t="s">
        <v>32</v>
      </c>
      <c r="D130" s="12" t="s">
        <v>47</v>
      </c>
      <c r="E130" s="12" t="s">
        <v>154</v>
      </c>
      <c r="F130" s="12">
        <v>771166914</v>
      </c>
      <c r="G130" s="12" t="s">
        <v>30</v>
      </c>
      <c r="H130" s="12" t="s">
        <v>13</v>
      </c>
      <c r="I130" s="12" t="s">
        <v>17</v>
      </c>
      <c r="J130" s="12" t="s">
        <v>33</v>
      </c>
      <c r="K130" s="12" t="s">
        <v>37</v>
      </c>
      <c r="L130" s="12">
        <v>1</v>
      </c>
      <c r="M130" s="13">
        <v>26000</v>
      </c>
      <c r="N130" s="13">
        <v>26000</v>
      </c>
      <c r="O130" s="14" t="str">
        <f>"S0"&amp;_xlfn.ISOWEEKNUM(Semaine_1[[#This Row],[Date]])</f>
        <v>S09</v>
      </c>
      <c r="P130" s="15" t="str">
        <f>TEXT(Semaine_1[[#This Row],[Date]],"MMMM")</f>
        <v>février</v>
      </c>
    </row>
    <row r="131" spans="1:16" ht="28.15" x14ac:dyDescent="0.45">
      <c r="A131" s="11">
        <v>46079</v>
      </c>
      <c r="B131" s="12" t="s">
        <v>39</v>
      </c>
      <c r="C131" s="12" t="s">
        <v>40</v>
      </c>
      <c r="D131" s="12" t="s">
        <v>43</v>
      </c>
      <c r="E131" s="12" t="s">
        <v>50</v>
      </c>
      <c r="F131" s="12">
        <v>774245132</v>
      </c>
      <c r="G131" s="12" t="s">
        <v>16</v>
      </c>
      <c r="H131" s="12" t="s">
        <v>13</v>
      </c>
      <c r="I131" s="12" t="s">
        <v>17</v>
      </c>
      <c r="J131" s="12" t="s">
        <v>21</v>
      </c>
      <c r="K131" s="12" t="s">
        <v>37</v>
      </c>
      <c r="L131" s="12">
        <v>25</v>
      </c>
      <c r="M131" s="13">
        <v>26000</v>
      </c>
      <c r="N131" s="13">
        <v>650000</v>
      </c>
      <c r="O131" s="14" t="str">
        <f>"S0"&amp;_xlfn.ISOWEEKNUM(Semaine_1[[#This Row],[Date]])</f>
        <v>S09</v>
      </c>
      <c r="P131" s="15" t="str">
        <f>TEXT(Semaine_1[[#This Row],[Date]],"MMMM")</f>
        <v>février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2026-02-28T23:47:53Z</dcterms:modified>
</cp:coreProperties>
</file>