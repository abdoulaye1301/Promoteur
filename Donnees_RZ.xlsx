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F10AC8B6-BB12-45B4-922E-98C7F6C7CA0A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2" i="2" l="1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<sst xmlns="http://schemas.openxmlformats.org/spreadsheetml/2006/main" count="652" uniqueCount="142">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</sst>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73" totalsRowShown="0" headerRowDxfId="18" headerRowBorderDxfId="17" tableBorderDxfId="16">
  <autoFilter ref="A1:P73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73"/>
  <sheetViews>
    <sheetView tabSelected="1" topLeftCell="E57" zoomScale="79" zoomScaleNormal="79" workbookViewId="0">
      <selection activeCell="A51" sqref="A51:N7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15">
        <v>46220</v>
      </c>
      <c r="B51" s="16" t="s">
        <v>34</v>
      </c>
      <c r="C51" s="16" t="s">
        <v>21</v>
      </c>
      <c r="D51" s="16" t="s">
        <v>51</v>
      </c>
      <c r="E51" s="16" t="s">
        <v>114</v>
      </c>
      <c r="F51" s="17">
        <v>774216341</v>
      </c>
      <c r="G51" s="16" t="s">
        <v>15</v>
      </c>
      <c r="H51" s="16" t="s">
        <v>13</v>
      </c>
      <c r="I51" s="16" t="s">
        <v>16</v>
      </c>
      <c r="J51" s="16" t="s">
        <v>73</v>
      </c>
      <c r="K51" s="16" t="s">
        <v>26</v>
      </c>
      <c r="L51" s="16">
        <v>25</v>
      </c>
      <c r="M51" s="18">
        <v>26000</v>
      </c>
      <c r="N51" s="18">
        <v>650000</v>
      </c>
      <c r="O51" s="19" t="str">
        <f>"S"&amp;_xlfn.ISOWEEKNUM(Semaine_1[[#This Row],[Date]])</f>
        <v>S29</v>
      </c>
      <c r="P51" s="20" t="str">
        <f>TEXT(Semaine_1[[#This Row],[Date]],"MMMM")</f>
        <v>juillet</v>
      </c>
    </row>
    <row r="52" spans="1:16" ht="28.15" x14ac:dyDescent="0.45">
      <c r="A52" s="15">
        <v>46219</v>
      </c>
      <c r="B52" s="16" t="s">
        <v>43</v>
      </c>
      <c r="C52" s="16" t="s">
        <v>27</v>
      </c>
      <c r="D52" s="16" t="s">
        <v>115</v>
      </c>
      <c r="E52" s="16" t="s">
        <v>116</v>
      </c>
      <c r="F52" s="17">
        <v>786312198</v>
      </c>
      <c r="G52" s="16" t="s">
        <v>15</v>
      </c>
      <c r="H52" s="16" t="s">
        <v>13</v>
      </c>
      <c r="I52" s="16" t="s">
        <v>16</v>
      </c>
      <c r="J52" s="16"/>
      <c r="K52" s="16" t="s">
        <v>36</v>
      </c>
      <c r="L52" s="16">
        <v>25</v>
      </c>
      <c r="M52" s="18">
        <v>19000</v>
      </c>
      <c r="N52" s="18">
        <v>475000</v>
      </c>
      <c r="O52" s="19" t="str">
        <f>"S"&amp;_xlfn.ISOWEEKNUM(Semaine_1[[#This Row],[Date]])</f>
        <v>S29</v>
      </c>
      <c r="P52" s="20" t="str">
        <f>TEXT(Semaine_1[[#This Row],[Date]],"MMMM")</f>
        <v>juillet</v>
      </c>
    </row>
    <row r="53" spans="1:16" ht="28.15" x14ac:dyDescent="0.45">
      <c r="A53" s="15">
        <v>46218</v>
      </c>
      <c r="B53" s="16" t="s">
        <v>43</v>
      </c>
      <c r="C53" s="16" t="s">
        <v>27</v>
      </c>
      <c r="D53" s="16" t="s">
        <v>115</v>
      </c>
      <c r="E53" s="16" t="s">
        <v>117</v>
      </c>
      <c r="F53" s="17">
        <v>773531341</v>
      </c>
      <c r="G53" s="16" t="s">
        <v>15</v>
      </c>
      <c r="H53" s="16" t="s">
        <v>13</v>
      </c>
      <c r="I53" s="16" t="s">
        <v>16</v>
      </c>
      <c r="J53" s="16"/>
      <c r="K53" s="16" t="s">
        <v>26</v>
      </c>
      <c r="L53" s="16">
        <v>100</v>
      </c>
      <c r="M53" s="18">
        <v>26000</v>
      </c>
      <c r="N53" s="18">
        <v>2600000</v>
      </c>
      <c r="O53" s="19" t="str">
        <f>"S"&amp;_xlfn.ISOWEEKNUM(Semaine_1[[#This Row],[Date]])</f>
        <v>S29</v>
      </c>
      <c r="P53" s="20" t="str">
        <f>TEXT(Semaine_1[[#This Row],[Date]],"MMMM")</f>
        <v>juillet</v>
      </c>
    </row>
    <row r="54" spans="1:16" ht="28.15" x14ac:dyDescent="0.45">
      <c r="A54" s="15">
        <v>46218</v>
      </c>
      <c r="B54" s="16" t="s">
        <v>43</v>
      </c>
      <c r="C54" s="16" t="s">
        <v>27</v>
      </c>
      <c r="D54" s="16" t="s">
        <v>28</v>
      </c>
      <c r="E54" s="16" t="s">
        <v>118</v>
      </c>
      <c r="F54" s="17">
        <v>774245132</v>
      </c>
      <c r="G54" s="16" t="s">
        <v>15</v>
      </c>
      <c r="H54" s="16" t="s">
        <v>13</v>
      </c>
      <c r="I54" s="16" t="s">
        <v>16</v>
      </c>
      <c r="J54" s="16"/>
      <c r="K54" s="16" t="s">
        <v>74</v>
      </c>
      <c r="L54" s="16">
        <v>25</v>
      </c>
      <c r="M54" s="18">
        <v>12000</v>
      </c>
      <c r="N54" s="18">
        <v>300000</v>
      </c>
      <c r="O54" s="19" t="str">
        <f>"S"&amp;_xlfn.ISOWEEKNUM(Semaine_1[[#This Row],[Date]])</f>
        <v>S29</v>
      </c>
      <c r="P54" s="20" t="str">
        <f>TEXT(Semaine_1[[#This Row],[Date]],"MMMM")</f>
        <v>juillet</v>
      </c>
    </row>
    <row r="55" spans="1:16" ht="28.15" x14ac:dyDescent="0.45">
      <c r="A55" s="15">
        <v>46218</v>
      </c>
      <c r="B55" s="16" t="s">
        <v>43</v>
      </c>
      <c r="C55" s="16" t="s">
        <v>27</v>
      </c>
      <c r="D55" s="16" t="s">
        <v>28</v>
      </c>
      <c r="E55" s="16" t="s">
        <v>44</v>
      </c>
      <c r="F55" s="17">
        <v>776149093</v>
      </c>
      <c r="G55" s="16" t="s">
        <v>23</v>
      </c>
      <c r="H55" s="16" t="s">
        <v>13</v>
      </c>
      <c r="I55" s="16" t="s">
        <v>16</v>
      </c>
      <c r="J55" s="16"/>
      <c r="K55" s="16" t="s">
        <v>32</v>
      </c>
      <c r="L55" s="16">
        <v>32</v>
      </c>
      <c r="M55" s="18">
        <v>6000</v>
      </c>
      <c r="N55" s="18">
        <v>192000</v>
      </c>
      <c r="O55" s="19" t="str">
        <f>"S"&amp;_xlfn.ISOWEEKNUM(Semaine_1[[#This Row],[Date]])</f>
        <v>S29</v>
      </c>
      <c r="P55" s="20" t="str">
        <f>TEXT(Semaine_1[[#This Row],[Date]],"MMMM")</f>
        <v>juillet</v>
      </c>
    </row>
    <row r="56" spans="1:16" ht="28.15" x14ac:dyDescent="0.45">
      <c r="A56" s="15">
        <v>46218</v>
      </c>
      <c r="B56" s="16" t="s">
        <v>40</v>
      </c>
      <c r="C56" s="16" t="s">
        <v>14</v>
      </c>
      <c r="D56" s="16" t="s">
        <v>67</v>
      </c>
      <c r="E56" s="16" t="s">
        <v>119</v>
      </c>
      <c r="F56" s="17">
        <v>772873297</v>
      </c>
      <c r="G56" s="16" t="s">
        <v>23</v>
      </c>
      <c r="H56" s="16" t="s">
        <v>13</v>
      </c>
      <c r="I56" s="16" t="s">
        <v>16</v>
      </c>
      <c r="J56" s="16" t="s">
        <v>73</v>
      </c>
      <c r="K56" s="16" t="s">
        <v>56</v>
      </c>
      <c r="L56" s="16">
        <v>50</v>
      </c>
      <c r="M56" s="18">
        <v>9000</v>
      </c>
      <c r="N56" s="18">
        <v>450000</v>
      </c>
      <c r="O56" s="19" t="str">
        <f>"S"&amp;_xlfn.ISOWEEKNUM(Semaine_1[[#This Row],[Date]])</f>
        <v>S29</v>
      </c>
      <c r="P56" s="20" t="str">
        <f>TEXT(Semaine_1[[#This Row],[Date]],"MMMM")</f>
        <v>juillet</v>
      </c>
    </row>
    <row r="57" spans="1:16" ht="28.15" x14ac:dyDescent="0.45">
      <c r="A57" s="15">
        <v>46218</v>
      </c>
      <c r="B57" s="16" t="s">
        <v>40</v>
      </c>
      <c r="C57" s="16" t="s">
        <v>14</v>
      </c>
      <c r="D57" s="16" t="s">
        <v>67</v>
      </c>
      <c r="E57" s="16" t="s">
        <v>119</v>
      </c>
      <c r="F57" s="17">
        <v>772873297</v>
      </c>
      <c r="G57" s="16" t="s">
        <v>23</v>
      </c>
      <c r="H57" s="16" t="s">
        <v>13</v>
      </c>
      <c r="I57" s="16" t="s">
        <v>16</v>
      </c>
      <c r="J57" s="16" t="s">
        <v>73</v>
      </c>
      <c r="K57" s="16" t="s">
        <v>97</v>
      </c>
      <c r="L57" s="16">
        <v>1</v>
      </c>
      <c r="M57" s="18">
        <v>11500</v>
      </c>
      <c r="N57" s="18">
        <v>11500</v>
      </c>
      <c r="O57" s="19" t="str">
        <f>"S"&amp;_xlfn.ISOWEEKNUM(Semaine_1[[#This Row],[Date]])</f>
        <v>S29</v>
      </c>
      <c r="P57" s="20" t="str">
        <f>TEXT(Semaine_1[[#This Row],[Date]],"MMMM")</f>
        <v>juillet</v>
      </c>
    </row>
    <row r="58" spans="1:16" ht="28.15" x14ac:dyDescent="0.45">
      <c r="A58" s="15">
        <v>46218</v>
      </c>
      <c r="B58" s="16" t="s">
        <v>40</v>
      </c>
      <c r="C58" s="16" t="s">
        <v>14</v>
      </c>
      <c r="D58" s="16" t="s">
        <v>120</v>
      </c>
      <c r="E58" s="16" t="s">
        <v>121</v>
      </c>
      <c r="F58" s="17">
        <v>785459209</v>
      </c>
      <c r="G58" s="16" t="s">
        <v>15</v>
      </c>
      <c r="H58" s="16" t="s">
        <v>13</v>
      </c>
      <c r="I58" s="16" t="s">
        <v>16</v>
      </c>
      <c r="J58" s="16" t="s">
        <v>73</v>
      </c>
      <c r="K58" s="16" t="s">
        <v>26</v>
      </c>
      <c r="L58" s="16">
        <v>25</v>
      </c>
      <c r="M58" s="18">
        <v>26000</v>
      </c>
      <c r="N58" s="18">
        <v>650000</v>
      </c>
      <c r="O58" s="19" t="str">
        <f>"S"&amp;_xlfn.ISOWEEKNUM(Semaine_1[[#This Row],[Date]])</f>
        <v>S29</v>
      </c>
      <c r="P58" s="20" t="str">
        <f>TEXT(Semaine_1[[#This Row],[Date]],"MMMM")</f>
        <v>juillet</v>
      </c>
    </row>
    <row r="59" spans="1:16" ht="28.15" x14ac:dyDescent="0.45">
      <c r="A59" s="15">
        <v>46217</v>
      </c>
      <c r="B59" s="16" t="s">
        <v>43</v>
      </c>
      <c r="C59" s="16" t="s">
        <v>27</v>
      </c>
      <c r="D59" s="16" t="s">
        <v>122</v>
      </c>
      <c r="E59" s="16" t="s">
        <v>123</v>
      </c>
      <c r="F59" s="17">
        <v>784537895</v>
      </c>
      <c r="G59" s="16" t="s">
        <v>15</v>
      </c>
      <c r="H59" s="16" t="s">
        <v>13</v>
      </c>
      <c r="I59" s="16" t="s">
        <v>16</v>
      </c>
      <c r="J59" s="16"/>
      <c r="K59" s="16" t="s">
        <v>26</v>
      </c>
      <c r="L59" s="16">
        <v>50</v>
      </c>
      <c r="M59" s="18">
        <v>26000</v>
      </c>
      <c r="N59" s="18">
        <v>1300000</v>
      </c>
      <c r="O59" s="19" t="str">
        <f>"S"&amp;_xlfn.ISOWEEKNUM(Semaine_1[[#This Row],[Date]])</f>
        <v>S29</v>
      </c>
      <c r="P59" s="20" t="str">
        <f>TEXT(Semaine_1[[#This Row],[Date]],"MMMM")</f>
        <v>juillet</v>
      </c>
    </row>
    <row r="60" spans="1:16" x14ac:dyDescent="0.45">
      <c r="A60" s="15">
        <v>46217</v>
      </c>
      <c r="B60" s="16" t="s">
        <v>33</v>
      </c>
      <c r="C60" s="16" t="s">
        <v>29</v>
      </c>
      <c r="D60" s="16" t="s">
        <v>60</v>
      </c>
      <c r="E60" s="16" t="s">
        <v>124</v>
      </c>
      <c r="F60" s="17">
        <v>783758073</v>
      </c>
      <c r="G60" s="16" t="s">
        <v>15</v>
      </c>
      <c r="H60" s="16" t="s">
        <v>13</v>
      </c>
      <c r="I60" s="16" t="s">
        <v>16</v>
      </c>
      <c r="J60" s="16" t="s">
        <v>73</v>
      </c>
      <c r="K60" s="16" t="s">
        <v>26</v>
      </c>
      <c r="L60" s="16">
        <v>25</v>
      </c>
      <c r="M60" s="18">
        <v>26000</v>
      </c>
      <c r="N60" s="18">
        <v>650000</v>
      </c>
      <c r="O60" s="19" t="str">
        <f>"S"&amp;_xlfn.ISOWEEKNUM(Semaine_1[[#This Row],[Date]])</f>
        <v>S29</v>
      </c>
      <c r="P60" s="20" t="str">
        <f>TEXT(Semaine_1[[#This Row],[Date]],"MMMM")</f>
        <v>juillet</v>
      </c>
    </row>
    <row r="61" spans="1:16" x14ac:dyDescent="0.45">
      <c r="A61" s="15">
        <v>46217</v>
      </c>
      <c r="B61" s="16" t="s">
        <v>33</v>
      </c>
      <c r="C61" s="16" t="s">
        <v>29</v>
      </c>
      <c r="D61" s="16" t="s">
        <v>47</v>
      </c>
      <c r="E61" s="16" t="s">
        <v>125</v>
      </c>
      <c r="F61" s="17">
        <v>772313191</v>
      </c>
      <c r="G61" s="16" t="s">
        <v>15</v>
      </c>
      <c r="H61" s="16" t="s">
        <v>13</v>
      </c>
      <c r="I61" s="16" t="s">
        <v>16</v>
      </c>
      <c r="J61" s="16" t="s">
        <v>73</v>
      </c>
      <c r="K61" s="16" t="s">
        <v>26</v>
      </c>
      <c r="L61" s="16">
        <v>100</v>
      </c>
      <c r="M61" s="18">
        <v>26000</v>
      </c>
      <c r="N61" s="18">
        <v>2600000</v>
      </c>
      <c r="O61" s="19" t="str">
        <f>"S"&amp;_xlfn.ISOWEEKNUM(Semaine_1[[#This Row],[Date]])</f>
        <v>S29</v>
      </c>
      <c r="P61" s="20" t="str">
        <f>TEXT(Semaine_1[[#This Row],[Date]],"MMMM")</f>
        <v>juillet</v>
      </c>
    </row>
    <row r="62" spans="1:16" ht="28.15" x14ac:dyDescent="0.45">
      <c r="A62" s="15">
        <v>46217</v>
      </c>
      <c r="B62" s="16" t="s">
        <v>40</v>
      </c>
      <c r="C62" s="16" t="s">
        <v>14</v>
      </c>
      <c r="D62" s="16" t="s">
        <v>120</v>
      </c>
      <c r="E62" s="16" t="s">
        <v>126</v>
      </c>
      <c r="F62" s="17">
        <v>764924460</v>
      </c>
      <c r="G62" s="16" t="s">
        <v>15</v>
      </c>
      <c r="H62" s="16" t="s">
        <v>13</v>
      </c>
      <c r="I62" s="16" t="s">
        <v>16</v>
      </c>
      <c r="J62" s="16" t="s">
        <v>73</v>
      </c>
      <c r="K62" s="16" t="s">
        <v>56</v>
      </c>
      <c r="L62" s="16">
        <v>25</v>
      </c>
      <c r="M62" s="18">
        <v>9000</v>
      </c>
      <c r="N62" s="18">
        <v>225000</v>
      </c>
      <c r="O62" s="19" t="str">
        <f>"S"&amp;_xlfn.ISOWEEKNUM(Semaine_1[[#This Row],[Date]])</f>
        <v>S29</v>
      </c>
      <c r="P62" s="20" t="str">
        <f>TEXT(Semaine_1[[#This Row],[Date]],"MMMM")</f>
        <v>juillet</v>
      </c>
    </row>
    <row r="63" spans="1:16" ht="28.15" x14ac:dyDescent="0.45">
      <c r="A63" s="15">
        <v>46217</v>
      </c>
      <c r="B63" s="16" t="s">
        <v>43</v>
      </c>
      <c r="C63" s="16" t="s">
        <v>27</v>
      </c>
      <c r="D63" s="16" t="s">
        <v>28</v>
      </c>
      <c r="E63" s="16" t="s">
        <v>127</v>
      </c>
      <c r="F63" s="17">
        <v>762852932</v>
      </c>
      <c r="G63" s="16" t="s">
        <v>23</v>
      </c>
      <c r="H63" s="16" t="s">
        <v>13</v>
      </c>
      <c r="I63" s="16" t="s">
        <v>16</v>
      </c>
      <c r="J63" s="16"/>
      <c r="K63" s="16" t="s">
        <v>26</v>
      </c>
      <c r="L63" s="16">
        <v>25</v>
      </c>
      <c r="M63" s="18">
        <v>26000</v>
      </c>
      <c r="N63" s="18">
        <v>650000</v>
      </c>
      <c r="O63" s="19" t="str">
        <f>"S"&amp;_xlfn.ISOWEEKNUM(Semaine_1[[#This Row],[Date]])</f>
        <v>S29</v>
      </c>
      <c r="P63" s="20" t="str">
        <f>TEXT(Semaine_1[[#This Row],[Date]],"MMMM")</f>
        <v>juillet</v>
      </c>
    </row>
    <row r="64" spans="1:16" ht="28.15" x14ac:dyDescent="0.45">
      <c r="A64" s="15">
        <v>46217</v>
      </c>
      <c r="B64" s="16" t="s">
        <v>43</v>
      </c>
      <c r="C64" s="16" t="s">
        <v>27</v>
      </c>
      <c r="D64" s="16" t="s">
        <v>115</v>
      </c>
      <c r="E64" s="16" t="s">
        <v>117</v>
      </c>
      <c r="F64" s="17">
        <v>773531341</v>
      </c>
      <c r="G64" s="16" t="s">
        <v>15</v>
      </c>
      <c r="H64" s="16" t="s">
        <v>13</v>
      </c>
      <c r="I64" s="16" t="s">
        <v>16</v>
      </c>
      <c r="J64" s="16"/>
      <c r="K64" s="16" t="s">
        <v>26</v>
      </c>
      <c r="L64" s="16">
        <v>100</v>
      </c>
      <c r="M64" s="18">
        <v>26000</v>
      </c>
      <c r="N64" s="18">
        <v>2600000</v>
      </c>
      <c r="O64" s="19" t="str">
        <f>"S"&amp;_xlfn.ISOWEEKNUM(Semaine_1[[#This Row],[Date]])</f>
        <v>S29</v>
      </c>
      <c r="P64" s="20" t="str">
        <f>TEXT(Semaine_1[[#This Row],[Date]],"MMMM")</f>
        <v>juillet</v>
      </c>
    </row>
    <row r="65" spans="1:16" ht="28.15" x14ac:dyDescent="0.45">
      <c r="A65" s="15">
        <v>46217</v>
      </c>
      <c r="B65" s="16" t="s">
        <v>43</v>
      </c>
      <c r="C65" s="16" t="s">
        <v>27</v>
      </c>
      <c r="D65" s="16" t="s">
        <v>128</v>
      </c>
      <c r="E65" s="16" t="s">
        <v>129</v>
      </c>
      <c r="F65" s="17">
        <v>778056161</v>
      </c>
      <c r="G65" s="16" t="s">
        <v>15</v>
      </c>
      <c r="H65" s="16" t="s">
        <v>13</v>
      </c>
      <c r="I65" s="16" t="s">
        <v>16</v>
      </c>
      <c r="J65" s="16"/>
      <c r="K65" s="16" t="s">
        <v>26</v>
      </c>
      <c r="L65" s="16">
        <v>25</v>
      </c>
      <c r="M65" s="18">
        <v>26000</v>
      </c>
      <c r="N65" s="18">
        <v>650000</v>
      </c>
      <c r="O65" s="19" t="str">
        <f>"S"&amp;_xlfn.ISOWEEKNUM(Semaine_1[[#This Row],[Date]])</f>
        <v>S29</v>
      </c>
      <c r="P65" s="20" t="str">
        <f>TEXT(Semaine_1[[#This Row],[Date]],"MMMM")</f>
        <v>juillet</v>
      </c>
    </row>
    <row r="66" spans="1:16" ht="28.15" x14ac:dyDescent="0.45">
      <c r="A66" s="15">
        <v>46216</v>
      </c>
      <c r="B66" s="16" t="s">
        <v>34</v>
      </c>
      <c r="C66" s="16" t="s">
        <v>21</v>
      </c>
      <c r="D66" s="16" t="s">
        <v>130</v>
      </c>
      <c r="E66" s="16" t="s">
        <v>131</v>
      </c>
      <c r="F66" s="17">
        <v>763469670</v>
      </c>
      <c r="G66" s="16" t="s">
        <v>15</v>
      </c>
      <c r="H66" s="16" t="s">
        <v>13</v>
      </c>
      <c r="I66" s="16" t="s">
        <v>16</v>
      </c>
      <c r="J66" s="16" t="s">
        <v>73</v>
      </c>
      <c r="K66" s="16" t="s">
        <v>26</v>
      </c>
      <c r="L66" s="16">
        <v>100</v>
      </c>
      <c r="M66" s="18">
        <v>26000</v>
      </c>
      <c r="N66" s="18">
        <v>2600000</v>
      </c>
      <c r="O66" s="19" t="str">
        <f>"S"&amp;_xlfn.ISOWEEKNUM(Semaine_1[[#This Row],[Date]])</f>
        <v>S29</v>
      </c>
      <c r="P66" s="20" t="str">
        <f>TEXT(Semaine_1[[#This Row],[Date]],"MMMM")</f>
        <v>juillet</v>
      </c>
    </row>
    <row r="67" spans="1:16" ht="28.15" x14ac:dyDescent="0.45">
      <c r="A67" s="15">
        <v>46216</v>
      </c>
      <c r="B67" s="16" t="s">
        <v>34</v>
      </c>
      <c r="C67" s="16" t="s">
        <v>21</v>
      </c>
      <c r="D67" s="16" t="s">
        <v>130</v>
      </c>
      <c r="E67" s="16" t="s">
        <v>132</v>
      </c>
      <c r="F67" s="17">
        <v>772902514</v>
      </c>
      <c r="G67" s="16" t="s">
        <v>23</v>
      </c>
      <c r="H67" s="16" t="s">
        <v>13</v>
      </c>
      <c r="I67" s="16" t="s">
        <v>16</v>
      </c>
      <c r="J67" s="16" t="s">
        <v>73</v>
      </c>
      <c r="K67" s="16" t="s">
        <v>38</v>
      </c>
      <c r="L67" s="16">
        <v>2</v>
      </c>
      <c r="M67" s="18">
        <v>10500</v>
      </c>
      <c r="N67" s="18">
        <v>21000</v>
      </c>
      <c r="O67" s="19" t="str">
        <f>"S"&amp;_xlfn.ISOWEEKNUM(Semaine_1[[#This Row],[Date]])</f>
        <v>S29</v>
      </c>
      <c r="P67" s="20" t="str">
        <f>TEXT(Semaine_1[[#This Row],[Date]],"MMMM")</f>
        <v>juillet</v>
      </c>
    </row>
    <row r="68" spans="1:16" ht="28.15" x14ac:dyDescent="0.45">
      <c r="A68" s="15">
        <v>46216</v>
      </c>
      <c r="B68" s="16" t="s">
        <v>40</v>
      </c>
      <c r="C68" s="16" t="s">
        <v>14</v>
      </c>
      <c r="D68" s="16" t="s">
        <v>120</v>
      </c>
      <c r="E68" s="16" t="s">
        <v>37</v>
      </c>
      <c r="F68" s="17">
        <v>776874747</v>
      </c>
      <c r="G68" s="16" t="s">
        <v>15</v>
      </c>
      <c r="H68" s="16" t="s">
        <v>13</v>
      </c>
      <c r="I68" s="16" t="s">
        <v>16</v>
      </c>
      <c r="J68" s="16" t="s">
        <v>73</v>
      </c>
      <c r="K68" s="16" t="s">
        <v>38</v>
      </c>
      <c r="L68" s="16">
        <v>25</v>
      </c>
      <c r="M68" s="18">
        <v>9000</v>
      </c>
      <c r="N68" s="18">
        <v>225000</v>
      </c>
      <c r="O68" s="19" t="str">
        <f>"S"&amp;_xlfn.ISOWEEKNUM(Semaine_1[[#This Row],[Date]])</f>
        <v>S29</v>
      </c>
      <c r="P68" s="20" t="str">
        <f>TEXT(Semaine_1[[#This Row],[Date]],"MMMM")</f>
        <v>juillet</v>
      </c>
    </row>
    <row r="69" spans="1:16" ht="28.15" x14ac:dyDescent="0.45">
      <c r="A69" s="15">
        <v>46216</v>
      </c>
      <c r="B69" s="16" t="s">
        <v>40</v>
      </c>
      <c r="C69" s="16" t="s">
        <v>14</v>
      </c>
      <c r="D69" s="16" t="s">
        <v>133</v>
      </c>
      <c r="E69" s="16" t="s">
        <v>134</v>
      </c>
      <c r="F69" s="17">
        <v>773273433</v>
      </c>
      <c r="G69" s="16" t="s">
        <v>23</v>
      </c>
      <c r="H69" s="16" t="s">
        <v>13</v>
      </c>
      <c r="I69" s="16" t="s">
        <v>16</v>
      </c>
      <c r="J69" s="16" t="s">
        <v>73</v>
      </c>
      <c r="K69" s="16" t="s">
        <v>135</v>
      </c>
      <c r="L69" s="16">
        <v>2</v>
      </c>
      <c r="M69" s="18">
        <v>15500</v>
      </c>
      <c r="N69" s="18">
        <v>31000</v>
      </c>
      <c r="O69" s="19" t="str">
        <f>"S"&amp;_xlfn.ISOWEEKNUM(Semaine_1[[#This Row],[Date]])</f>
        <v>S29</v>
      </c>
      <c r="P69" s="20" t="str">
        <f>TEXT(Semaine_1[[#This Row],[Date]],"MMMM")</f>
        <v>juillet</v>
      </c>
    </row>
    <row r="70" spans="1:16" ht="28.15" x14ac:dyDescent="0.45">
      <c r="A70" s="15">
        <v>46216</v>
      </c>
      <c r="B70" s="16" t="s">
        <v>40</v>
      </c>
      <c r="C70" s="16" t="s">
        <v>14</v>
      </c>
      <c r="D70" s="16" t="s">
        <v>133</v>
      </c>
      <c r="E70" s="16" t="s">
        <v>136</v>
      </c>
      <c r="F70" s="17">
        <v>777671841</v>
      </c>
      <c r="G70" s="16" t="s">
        <v>15</v>
      </c>
      <c r="H70" s="16" t="s">
        <v>13</v>
      </c>
      <c r="I70" s="16" t="s">
        <v>16</v>
      </c>
      <c r="J70" s="16" t="s">
        <v>73</v>
      </c>
      <c r="K70" s="16" t="s">
        <v>135</v>
      </c>
      <c r="L70" s="16">
        <v>2</v>
      </c>
      <c r="M70" s="18">
        <v>15500</v>
      </c>
      <c r="N70" s="18">
        <v>31000</v>
      </c>
      <c r="O70" s="19" t="str">
        <f>"S"&amp;_xlfn.ISOWEEKNUM(Semaine_1[[#This Row],[Date]])</f>
        <v>S29</v>
      </c>
      <c r="P70" s="20" t="str">
        <f>TEXT(Semaine_1[[#This Row],[Date]],"MMMM")</f>
        <v>juillet</v>
      </c>
    </row>
    <row r="71" spans="1:16" x14ac:dyDescent="0.45">
      <c r="A71" s="15">
        <v>46218</v>
      </c>
      <c r="B71" s="16" t="s">
        <v>33</v>
      </c>
      <c r="C71" s="16" t="s">
        <v>29</v>
      </c>
      <c r="D71" s="16" t="s">
        <v>60</v>
      </c>
      <c r="E71" s="16" t="s">
        <v>137</v>
      </c>
      <c r="F71" s="17">
        <v>774415358</v>
      </c>
      <c r="G71" s="16" t="s">
        <v>15</v>
      </c>
      <c r="H71" s="16" t="s">
        <v>13</v>
      </c>
      <c r="I71" s="16" t="s">
        <v>16</v>
      </c>
      <c r="J71" s="16" t="s">
        <v>113</v>
      </c>
      <c r="K71" s="16" t="s">
        <v>38</v>
      </c>
      <c r="L71" s="16">
        <v>30</v>
      </c>
      <c r="M71" s="18">
        <v>9000</v>
      </c>
      <c r="N71" s="18">
        <v>270000</v>
      </c>
      <c r="O71" s="19" t="str">
        <f>"S"&amp;_xlfn.ISOWEEKNUM(Semaine_1[[#This Row],[Date]])</f>
        <v>S29</v>
      </c>
      <c r="P71" s="20" t="str">
        <f>TEXT(Semaine_1[[#This Row],[Date]],"MMMM")</f>
        <v>juillet</v>
      </c>
    </row>
    <row r="72" spans="1:16" x14ac:dyDescent="0.45">
      <c r="A72" s="15">
        <v>46216</v>
      </c>
      <c r="B72" s="16" t="s">
        <v>33</v>
      </c>
      <c r="C72" s="16" t="s">
        <v>29</v>
      </c>
      <c r="D72" s="16" t="s">
        <v>60</v>
      </c>
      <c r="E72" s="16" t="s">
        <v>76</v>
      </c>
      <c r="F72" s="17">
        <v>774993694</v>
      </c>
      <c r="G72" s="16" t="s">
        <v>15</v>
      </c>
      <c r="H72" s="16" t="s">
        <v>13</v>
      </c>
      <c r="I72" s="16" t="s">
        <v>16</v>
      </c>
      <c r="J72" s="16" t="s">
        <v>138</v>
      </c>
      <c r="K72" s="16" t="s">
        <v>74</v>
      </c>
      <c r="L72" s="16">
        <v>100</v>
      </c>
      <c r="M72" s="18">
        <v>12000</v>
      </c>
      <c r="N72" s="18">
        <v>1200000</v>
      </c>
      <c r="O72" s="19" t="str">
        <f>"S"&amp;_xlfn.ISOWEEKNUM(Semaine_1[[#This Row],[Date]])</f>
        <v>S29</v>
      </c>
      <c r="P72" s="20" t="str">
        <f>TEXT(Semaine_1[[#This Row],[Date]],"MMMM")</f>
        <v>juillet</v>
      </c>
    </row>
    <row r="73" spans="1:16" x14ac:dyDescent="0.45">
      <c r="A73" s="15">
        <v>46216</v>
      </c>
      <c r="B73" s="16" t="s">
        <v>33</v>
      </c>
      <c r="C73" s="16" t="s">
        <v>29</v>
      </c>
      <c r="D73" s="16" t="s">
        <v>139</v>
      </c>
      <c r="E73" s="16" t="s">
        <v>140</v>
      </c>
      <c r="F73" s="17">
        <v>777643068</v>
      </c>
      <c r="G73" s="16" t="s">
        <v>15</v>
      </c>
      <c r="H73" s="16" t="s">
        <v>13</v>
      </c>
      <c r="I73" s="16" t="s">
        <v>16</v>
      </c>
      <c r="J73" s="16" t="s">
        <v>141</v>
      </c>
      <c r="K73" s="16" t="s">
        <v>26</v>
      </c>
      <c r="L73" s="16">
        <v>25</v>
      </c>
      <c r="M73" s="18">
        <v>26000</v>
      </c>
      <c r="N73" s="18">
        <v>650000</v>
      </c>
      <c r="O73" s="19" t="str">
        <f>"S"&amp;_xlfn.ISOWEEKNUM(Semaine_1[[#This Row],[Date]])</f>
        <v>S29</v>
      </c>
      <c r="P73" s="20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2026-07-20T04:13:07Z</dcterms:modified>
</cp:coreProperties>
</file>