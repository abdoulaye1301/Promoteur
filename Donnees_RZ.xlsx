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F4574B39-33DA-4A45-ABDA-CC5209E889A0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2" i="2" l="1"/>
  <c r="P102" i="2"/>
  <c r="O101" i="2"/>
  <c r="P101" i="2"/>
  <c r="O100" i="2"/>
  <c r="P100" i="2"/>
  <c r="O99" i="2"/>
  <c r="P99" i="2"/>
  <c r="O98" i="2"/>
  <c r="P98" i="2"/>
  <c r="O97" i="2"/>
  <c r="P97" i="2"/>
  <c r="O95" i="2"/>
  <c r="O96" i="2"/>
  <c r="P95" i="2"/>
  <c r="P96" i="2"/>
  <c r="O93" i="2"/>
  <c r="O94" i="2"/>
  <c r="P93" i="2"/>
  <c r="P94" i="2"/>
  <c r="O92" i="2"/>
  <c r="P92" i="2"/>
  <c r="O91" i="2"/>
  <c r="P91" i="2"/>
  <c r="O90" i="2"/>
  <c r="P90" i="2"/>
  <c r="O87" i="2"/>
  <c r="O88" i="2"/>
  <c r="O89" i="2"/>
  <c r="P87" i="2"/>
  <c r="P88" i="2"/>
  <c r="P89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4" i="2"/>
  <c r="P74" i="2"/>
  <c r="O70" i="2"/>
  <c r="O71" i="2"/>
  <c r="O72" i="2"/>
  <c r="O73" i="2"/>
  <c r="P70" i="2"/>
  <c r="P71" i="2"/>
  <c r="P72" i="2"/>
  <c r="P73" i="2"/>
  <c r="O68" i="2"/>
  <c r="O69" i="2"/>
  <c r="P68" i="2"/>
  <c r="P69" i="2"/>
  <c r="O65" i="2"/>
  <c r="O66" i="2"/>
  <c r="O67" i="2"/>
  <c r="P65" i="2"/>
  <c r="P66" i="2"/>
  <c r="P67" i="2"/>
  <c r="O64" i="2"/>
  <c r="P64" i="2"/>
  <c r="O63" i="2"/>
  <c r="P63" i="2"/>
  <c r="O62" i="2"/>
  <c r="P62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<sst xmlns="http://schemas.openxmlformats.org/spreadsheetml/2006/main" count="925" uniqueCount="186">
  <si>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</si>
  <si>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</si>
  <si>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</si>
  <si>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</si>
  <si>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</si>
  <si>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</si>
  <si>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</si>
  <si>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</si>
  <si>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</si>
  <si>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</si>
  <si>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</si>
  <si>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</si>
  <si>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</si>
  <si>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</si>
  <si>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</si>
  <si>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</si>
  <si>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</si>
  <si>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</si>
  <si>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</si>
  <si>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</si>
  <si>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</si>
  <si>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</si>
  <si>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</si>
  <si>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</si>
  <si>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</si>
  <si>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</si>
  <si>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</si>
  <si>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</si>
  <si>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</si>
  <si>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</si>
  <si>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</si>
  <si>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</si>
  <si>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</si>
  <si>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</si>
  <si>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</si>
  <si>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</si>
  <si>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</si>
  <si>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</si>
  <si>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</si>
  <si>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</si>
  <si>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</si>
  <si>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</si>
  <si>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</si>
  <si>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</si>
  <si>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</si>
  <si>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</si>
  <si>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</si>
  <si>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</si>
  <si>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</si>
  <si>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</si>
  <si>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</si>
  <si>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</si>
  <si>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</si>
  <si>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</si>
  <si>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</si>
  <si>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</si>
  <si>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</si>
  <si>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</si>
  <si>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</si>
  <si>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</si>
  <si>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</si>
  <si>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</si>
  <si>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</si>
  <si>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</si>
  <si>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</si>
  <si>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</si>
  <si>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</si>
  <si>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</si>
  <si>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</si>
  <si>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</si>
  <si>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</si>
  <si>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</si>
  <si>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</si>
  <si>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</si>
  <si>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</si>
  <si>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</si>
  <si>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</si>
  <si>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</si>
  <si>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</si>
  <si>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</si>
  <si>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</si>
  <si>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</si>
  <si>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</si>
  <si>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</si>
  <si>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</si>
  <si>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</si>
  <si>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</si>
  <si>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</si>
  <si>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</si>
  <si>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</si>
  <si>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</si>
  <si>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</si>
  <si>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</si>
  <si>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</si>
  <si>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</si>
  <si>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</si>
  <si>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</si>
  <si>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</si>
  <si>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</si>
  <si>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</si>
  <si>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</si>
  <si>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</si>
  <si>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</si>
  <si>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</si>
  <si>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</si>
  <si>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</si>
  <si>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</si>
  <si>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</si>
  <si>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</si>
  <si>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</si>
  <si>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</si>
  <si>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</si>
  <si>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</si>
  <si>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</si>
  <si>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</si>
  <si>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</si>
  <si>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</si>
  <si>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</si>
  <si>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</si>
  <si>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</si>
  <si>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</si>
  <si>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</si>
  <si>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Bassoum khamza</t>
  </si>
  <si>
    <t>Khadim</t>
  </si>
  <si>
    <t>Marche Sahm</t>
  </si>
  <si>
    <t>MATAR LY</t>
  </si>
  <si>
    <t>Alune Ndiaye</t>
  </si>
  <si>
    <t>J'ai livre aussi 2 carton de l'ai kamlac évaporé+3 carton d réfrai+1 carton de kamlac chocolat</t>
  </si>
  <si>
    <t>Lait Janus 18gx100</t>
  </si>
  <si>
    <t>Diamaguene</t>
  </si>
  <si>
    <t>Mouhamed KANTE</t>
  </si>
  <si>
    <t>Keur Massar Ainoumady</t>
  </si>
  <si>
    <t>Aziz</t>
  </si>
  <si>
    <t>Liberté 1 à 6</t>
  </si>
  <si>
    <t>Moussa Sow</t>
  </si>
  <si>
    <t>Korka</t>
  </si>
  <si>
    <t>Omar</t>
  </si>
  <si>
    <t>Le toro</t>
  </si>
  <si>
    <t>Merci beaucoup</t>
  </si>
  <si>
    <t>Point E</t>
  </si>
  <si>
    <t>Aliou</t>
  </si>
  <si>
    <t>Café Altimo pot 100g x 24 pcs</t>
  </si>
  <si>
    <t>TAPAHA GAYE</t>
  </si>
  <si>
    <t>Guinaw Rail</t>
  </si>
  <si>
    <t>Khadime FALL</t>
  </si>
  <si>
    <t>Matar Gaye</t>
  </si>
  <si>
    <t>MACTAR</t>
  </si>
  <si>
    <t>Il dit que sur la facture c'est écrit 50+3 alors que c'est 50+2 pour qoit</t>
  </si>
  <si>
    <t>Ba boutique</t>
  </si>
  <si>
    <t>il veut essayer les chocolats en poudre</t>
  </si>
  <si>
    <t>CHERIF DIALLO</t>
  </si>
  <si>
    <t>Alioune</t>
  </si>
  <si>
    <t>Supermarché le cayor</t>
  </si>
  <si>
    <t>Médina</t>
  </si>
  <si>
    <t>Malick</t>
  </si>
  <si>
    <t>Ngor</t>
  </si>
  <si>
    <t>Mouhamed ba</t>
  </si>
  <si>
    <t xml:space="preserve">Lundi ba mardi </t>
  </si>
  <si>
    <t>Alpha Diallo</t>
  </si>
  <si>
    <t>Lye</t>
  </si>
  <si>
    <t>Café Altimo pot 200g x 12 pcs</t>
  </si>
  <si>
    <t>Abdourahmane</t>
  </si>
  <si>
    <t>THIERNO KANTE</t>
  </si>
  <si>
    <t>NDEYE MARÉME DIOP</t>
  </si>
  <si>
    <t>Yeumbeul Tally Diallo</t>
  </si>
  <si>
    <t>ABLAYE DIALLO</t>
  </si>
  <si>
    <t>Babacar Mbaye Kébé</t>
  </si>
  <si>
    <t>Modou Diop</t>
  </si>
  <si>
    <t>Raa</t>
  </si>
  <si>
    <t>Matar Ndaiye</t>
  </si>
  <si>
    <t xml:space="preserve">Les livraison sa prend du temps ces pas professionnel si sa continue je vais acheter d'autres plus disponible </t>
  </si>
  <si>
    <t>Amadou Ba</t>
  </si>
  <si>
    <t>Marwan</t>
  </si>
  <si>
    <t>Grand Boutique</t>
  </si>
  <si>
    <t>Saliou</t>
  </si>
  <si>
    <t>18safar</t>
  </si>
  <si>
    <t xml:space="preserve">Je vais t'appeler après </t>
  </si>
  <si>
    <t>Mor Diop</t>
  </si>
  <si>
    <t xml:space="preserve">Je vais essayer avec les chocolat jaune </t>
  </si>
  <si>
    <t>AMINATA NDIAYE</t>
  </si>
  <si>
    <t>Terminus 71</t>
  </si>
  <si>
    <t>Alimentation sohibou</t>
  </si>
  <si>
    <t>Superette</t>
  </si>
  <si>
    <t>Ses clients apprécient le café</t>
  </si>
  <si>
    <t>Khewal Ka</t>
  </si>
  <si>
    <t>MOUSTAPHA BAKHDAD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</si>
</sst>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2" totalsRowShown="0" headerRowDxfId="18" headerRowBorderDxfId="17" tableBorderDxfId="16">
  <autoFilter ref="A1:P10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2"/>
  <sheetViews>
    <sheetView tabSelected="1" topLeftCell="F69" zoomScale="79" zoomScaleNormal="79" workbookViewId="0">
      <selection activeCell="P88" sqref="P88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  <row r="55" spans="1:16" x14ac:dyDescent="0.45">
      <c r="A55" s="8">
        <v>45997</v>
      </c>
      <c r="B55" s="9" t="s">
        <v>14</v>
      </c>
      <c r="C55" s="9" t="s">
        <v>15</v>
      </c>
      <c r="D55" s="9" t="s">
        <v>86</v>
      </c>
      <c r="E55" s="9" t="s">
        <v>122</v>
      </c>
      <c r="F55" s="9">
        <v>778013213</v>
      </c>
      <c r="G55" s="9" t="s">
        <v>49</v>
      </c>
      <c r="H55" s="9" t="s">
        <v>13</v>
      </c>
      <c r="I55" s="9" t="s">
        <v>17</v>
      </c>
      <c r="J55" s="10" t="s">
        <v>17</v>
      </c>
      <c r="K55" s="9" t="s">
        <v>60</v>
      </c>
      <c r="L55" s="9">
        <v>25</v>
      </c>
      <c r="M55" s="11">
        <v>10500</v>
      </c>
      <c r="N55" s="11">
        <v>262500</v>
      </c>
      <c r="O55" s="7" t="str">
        <f>"S"&amp;_xlfn.ISOWEEKNUM(Semaine_1[[#This Row],[Date]])</f>
        <v>S49</v>
      </c>
      <c r="P55" t="str">
        <f>TEXT(Semaine_1[[#This Row],[Date]],"MMMM")</f>
        <v>décembre</v>
      </c>
    </row>
    <row r="56" spans="1:16" x14ac:dyDescent="0.45">
      <c r="A56" s="8">
        <v>45997</v>
      </c>
      <c r="B56" s="9" t="s">
        <v>14</v>
      </c>
      <c r="C56" s="9" t="s">
        <v>15</v>
      </c>
      <c r="D56" s="9" t="s">
        <v>28</v>
      </c>
      <c r="E56" s="9" t="s">
        <v>123</v>
      </c>
      <c r="F56" s="9">
        <v>776712564</v>
      </c>
      <c r="G56" s="9" t="s">
        <v>49</v>
      </c>
      <c r="H56" s="9" t="s">
        <v>13</v>
      </c>
      <c r="I56" s="9" t="s">
        <v>17</v>
      </c>
      <c r="J56" s="10" t="s">
        <v>17</v>
      </c>
      <c r="K56" s="9" t="s">
        <v>72</v>
      </c>
      <c r="L56" s="9">
        <v>25</v>
      </c>
      <c r="M56" s="11">
        <v>26000</v>
      </c>
      <c r="N56" s="11">
        <v>650000</v>
      </c>
      <c r="O56" s="7" t="str">
        <f>"S"&amp;_xlfn.ISOWEEKNUM(Semaine_1[[#This Row],[Date]])</f>
        <v>S49</v>
      </c>
      <c r="P56" t="str">
        <f>TEXT(Semaine_1[[#This Row],[Date]],"MMMM")</f>
        <v>décembre</v>
      </c>
    </row>
    <row r="57" spans="1:16" x14ac:dyDescent="0.45">
      <c r="A57" s="8">
        <v>45996</v>
      </c>
      <c r="B57" s="9" t="s">
        <v>88</v>
      </c>
      <c r="C57" s="9" t="s">
        <v>89</v>
      </c>
      <c r="D57" s="9" t="s">
        <v>124</v>
      </c>
      <c r="E57" s="9" t="s">
        <v>125</v>
      </c>
      <c r="F57" s="9">
        <v>773531341</v>
      </c>
      <c r="G57" s="9" t="s">
        <v>16</v>
      </c>
      <c r="H57" s="9" t="s">
        <v>13</v>
      </c>
      <c r="I57" s="9" t="s">
        <v>17</v>
      </c>
      <c r="J57" s="10" t="s">
        <v>21</v>
      </c>
      <c r="K57" s="9" t="s">
        <v>72</v>
      </c>
      <c r="L57" s="9">
        <v>200</v>
      </c>
      <c r="M57" s="11">
        <v>26000</v>
      </c>
      <c r="N57" s="11">
        <v>5200000</v>
      </c>
      <c r="O57" s="7" t="str">
        <f>"S"&amp;_xlfn.ISOWEEKNUM(Semaine_1[[#This Row],[Date]])</f>
        <v>S49</v>
      </c>
      <c r="P57" t="str">
        <f>TEXT(Semaine_1[[#This Row],[Date]],"MMMM")</f>
        <v>décembre</v>
      </c>
    </row>
    <row r="58" spans="1:16" ht="28.15" x14ac:dyDescent="0.45">
      <c r="A58" s="8">
        <v>45996</v>
      </c>
      <c r="B58" s="9" t="s">
        <v>24</v>
      </c>
      <c r="C58" s="9" t="s">
        <v>25</v>
      </c>
      <c r="D58" s="9" t="s">
        <v>26</v>
      </c>
      <c r="E58" s="9" t="s">
        <v>126</v>
      </c>
      <c r="F58" s="9">
        <v>775273147</v>
      </c>
      <c r="G58" s="9" t="s">
        <v>16</v>
      </c>
      <c r="H58" s="9" t="s">
        <v>13</v>
      </c>
      <c r="I58" s="9" t="s">
        <v>17</v>
      </c>
      <c r="J58" s="10" t="s">
        <v>127</v>
      </c>
      <c r="K58" s="9" t="s">
        <v>128</v>
      </c>
      <c r="L58" s="9">
        <v>25</v>
      </c>
      <c r="M58" s="11">
        <v>6000</v>
      </c>
      <c r="N58" s="11">
        <v>150000</v>
      </c>
      <c r="O58" s="7" t="str">
        <f>"S"&amp;_xlfn.ISOWEEKNUM(Semaine_1[[#This Row],[Date]])</f>
        <v>S49</v>
      </c>
      <c r="P58" t="str">
        <f>TEXT(Semaine_1[[#This Row],[Date]],"MMMM")</f>
        <v>décembre</v>
      </c>
    </row>
    <row r="59" spans="1:16" x14ac:dyDescent="0.45">
      <c r="A59" s="8">
        <v>45995</v>
      </c>
      <c r="B59" s="9" t="s">
        <v>51</v>
      </c>
      <c r="C59" s="9" t="s">
        <v>52</v>
      </c>
      <c r="D59" s="9" t="s">
        <v>129</v>
      </c>
      <c r="E59" s="9" t="s">
        <v>130</v>
      </c>
      <c r="F59" s="9">
        <v>777096402</v>
      </c>
      <c r="G59" s="9" t="s">
        <v>16</v>
      </c>
      <c r="H59" s="9" t="s">
        <v>13</v>
      </c>
      <c r="I59" s="9" t="s">
        <v>17</v>
      </c>
      <c r="J59" s="10" t="s">
        <v>58</v>
      </c>
      <c r="K59" s="9" t="s">
        <v>60</v>
      </c>
      <c r="L59" s="9">
        <v>25</v>
      </c>
      <c r="M59" s="11">
        <v>10500</v>
      </c>
      <c r="N59" s="11">
        <v>262500</v>
      </c>
      <c r="O59" s="7" t="str">
        <f>"S"&amp;_xlfn.ISOWEEKNUM(Semaine_1[[#This Row],[Date]])</f>
        <v>S49</v>
      </c>
      <c r="P59" t="str">
        <f>TEXT(Semaine_1[[#This Row],[Date]],"MMMM")</f>
        <v>décembre</v>
      </c>
    </row>
    <row r="60" spans="1:16" x14ac:dyDescent="0.45">
      <c r="A60" s="8">
        <v>45995</v>
      </c>
      <c r="B60" s="9" t="s">
        <v>45</v>
      </c>
      <c r="C60" s="9" t="s">
        <v>46</v>
      </c>
      <c r="D60" s="9" t="s">
        <v>77</v>
      </c>
      <c r="E60" s="9" t="s">
        <v>78</v>
      </c>
      <c r="F60" s="9">
        <v>779117863</v>
      </c>
      <c r="G60" s="9" t="s">
        <v>16</v>
      </c>
      <c r="H60" s="9" t="s">
        <v>13</v>
      </c>
      <c r="I60" s="9" t="s">
        <v>17</v>
      </c>
      <c r="J60" s="10" t="s">
        <v>21</v>
      </c>
      <c r="K60" s="9" t="s">
        <v>60</v>
      </c>
      <c r="L60" s="9">
        <v>1</v>
      </c>
      <c r="M60" s="11">
        <v>10500</v>
      </c>
      <c r="N60" s="11">
        <v>10500</v>
      </c>
      <c r="O60" s="7" t="str">
        <f>"S"&amp;_xlfn.ISOWEEKNUM(Semaine_1[[#This Row],[Date]])</f>
        <v>S49</v>
      </c>
      <c r="P60" t="str">
        <f>TEXT(Semaine_1[[#This Row],[Date]],"MMMM")</f>
        <v>décembre</v>
      </c>
    </row>
    <row r="61" spans="1:16" x14ac:dyDescent="0.45">
      <c r="A61" s="8">
        <v>45995</v>
      </c>
      <c r="B61" s="9" t="s">
        <v>45</v>
      </c>
      <c r="C61" s="9" t="s">
        <v>46</v>
      </c>
      <c r="D61" s="9" t="s">
        <v>77</v>
      </c>
      <c r="E61" s="9" t="s">
        <v>78</v>
      </c>
      <c r="F61" s="9">
        <v>779117863</v>
      </c>
      <c r="G61" s="9" t="s">
        <v>16</v>
      </c>
      <c r="H61" s="9" t="s">
        <v>13</v>
      </c>
      <c r="I61" s="9" t="s">
        <v>17</v>
      </c>
      <c r="J61" s="10" t="s">
        <v>21</v>
      </c>
      <c r="K61" s="9" t="s">
        <v>31</v>
      </c>
      <c r="L61" s="9">
        <v>1</v>
      </c>
      <c r="M61" s="11">
        <v>15500</v>
      </c>
      <c r="N61" s="11">
        <v>15500</v>
      </c>
      <c r="O61" s="7" t="str">
        <f>"S"&amp;_xlfn.ISOWEEKNUM(Semaine_1[[#This Row],[Date]])</f>
        <v>S49</v>
      </c>
      <c r="P61" t="str">
        <f>TEXT(Semaine_1[[#This Row],[Date]],"MMMM")</f>
        <v>décembre</v>
      </c>
    </row>
    <row r="62" spans="1:16" x14ac:dyDescent="0.45">
      <c r="A62" s="8">
        <v>45995</v>
      </c>
      <c r="B62" s="9" t="s">
        <v>45</v>
      </c>
      <c r="C62" s="9" t="s">
        <v>46</v>
      </c>
      <c r="D62" s="9" t="s">
        <v>77</v>
      </c>
      <c r="E62" s="9" t="s">
        <v>78</v>
      </c>
      <c r="F62" s="9">
        <v>779117863</v>
      </c>
      <c r="G62" s="9" t="s">
        <v>16</v>
      </c>
      <c r="H62" s="9" t="s">
        <v>13</v>
      </c>
      <c r="I62" s="9" t="s">
        <v>17</v>
      </c>
      <c r="J62" s="10" t="s">
        <v>21</v>
      </c>
      <c r="K62" s="9" t="s">
        <v>72</v>
      </c>
      <c r="L62" s="9">
        <v>31</v>
      </c>
      <c r="M62" s="11">
        <v>26000</v>
      </c>
      <c r="N62" s="11">
        <v>806000</v>
      </c>
      <c r="O62" s="7" t="str">
        <f>"S"&amp;_xlfn.ISOWEEKNUM(Semaine_1[[#This Row],[Date]])</f>
        <v>S49</v>
      </c>
      <c r="P62" t="str">
        <f>TEXT(Semaine_1[[#This Row],[Date]],"MMMM")</f>
        <v>décembre</v>
      </c>
    </row>
    <row r="63" spans="1:16" x14ac:dyDescent="0.45">
      <c r="A63" s="8">
        <v>45995</v>
      </c>
      <c r="B63" s="9" t="s">
        <v>34</v>
      </c>
      <c r="C63" s="9" t="s">
        <v>35</v>
      </c>
      <c r="D63" s="9" t="s">
        <v>131</v>
      </c>
      <c r="E63" s="9" t="s">
        <v>132</v>
      </c>
      <c r="F63" s="9">
        <v>766657313</v>
      </c>
      <c r="G63" s="9" t="s">
        <v>16</v>
      </c>
      <c r="H63" s="9" t="s">
        <v>13</v>
      </c>
      <c r="I63" s="9" t="s">
        <v>17</v>
      </c>
      <c r="J63" s="10" t="s">
        <v>39</v>
      </c>
      <c r="K63" s="9" t="s">
        <v>72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S49</v>
      </c>
      <c r="P63" t="str">
        <f>TEXT(Semaine_1[[#This Row],[Date]],"MMMM")</f>
        <v>décembre</v>
      </c>
    </row>
    <row r="64" spans="1:16" x14ac:dyDescent="0.45">
      <c r="A64" s="8">
        <v>45994</v>
      </c>
      <c r="B64" s="9" t="s">
        <v>51</v>
      </c>
      <c r="C64" s="9" t="s">
        <v>52</v>
      </c>
      <c r="D64" s="9" t="s">
        <v>133</v>
      </c>
      <c r="E64" s="9" t="s">
        <v>134</v>
      </c>
      <c r="F64" s="9">
        <v>781872421</v>
      </c>
      <c r="G64" s="9" t="s">
        <v>49</v>
      </c>
      <c r="H64" s="9" t="s">
        <v>13</v>
      </c>
      <c r="I64" s="9" t="s">
        <v>17</v>
      </c>
      <c r="J64" s="10" t="s">
        <v>58</v>
      </c>
      <c r="K64" s="9" t="s">
        <v>60</v>
      </c>
      <c r="L64" s="9">
        <v>2</v>
      </c>
      <c r="M64" s="11">
        <v>11500</v>
      </c>
      <c r="N64" s="11">
        <v>23000</v>
      </c>
      <c r="O64" s="7" t="str">
        <f>"S"&amp;_xlfn.ISOWEEKNUM(Semaine_1[[#This Row],[Date]])</f>
        <v>S49</v>
      </c>
      <c r="P64" t="str">
        <f>TEXT(Semaine_1[[#This Row],[Date]],"MMMM")</f>
        <v>décembre</v>
      </c>
    </row>
    <row r="65" spans="1:16" x14ac:dyDescent="0.45">
      <c r="A65" s="8">
        <v>45994</v>
      </c>
      <c r="B65" s="9" t="s">
        <v>51</v>
      </c>
      <c r="C65" s="9" t="s">
        <v>52</v>
      </c>
      <c r="D65" s="9" t="s">
        <v>129</v>
      </c>
      <c r="E65" s="9" t="s">
        <v>135</v>
      </c>
      <c r="F65" s="9">
        <v>772131614</v>
      </c>
      <c r="G65" s="9" t="s">
        <v>16</v>
      </c>
      <c r="H65" s="9" t="s">
        <v>13</v>
      </c>
      <c r="I65" s="9" t="s">
        <v>17</v>
      </c>
      <c r="J65" s="10" t="s">
        <v>58</v>
      </c>
      <c r="K65" s="9" t="s">
        <v>29</v>
      </c>
      <c r="L65" s="9">
        <v>25</v>
      </c>
      <c r="M65" s="11">
        <v>9750</v>
      </c>
      <c r="N65" s="11">
        <v>243750</v>
      </c>
      <c r="O65" s="7" t="str">
        <f>"S"&amp;_xlfn.ISOWEEKNUM(Semaine_1[[#This Row],[Date]])</f>
        <v>S49</v>
      </c>
      <c r="P65" t="str">
        <f>TEXT(Semaine_1[[#This Row],[Date]],"MMMM")</f>
        <v>décembre</v>
      </c>
    </row>
    <row r="66" spans="1:16" x14ac:dyDescent="0.45">
      <c r="A66" s="8">
        <v>45994</v>
      </c>
      <c r="B66" s="9" t="s">
        <v>51</v>
      </c>
      <c r="C66" s="9" t="s">
        <v>52</v>
      </c>
      <c r="D66" s="9" t="s">
        <v>129</v>
      </c>
      <c r="E66" s="9" t="s">
        <v>135</v>
      </c>
      <c r="F66" s="9">
        <v>772131614</v>
      </c>
      <c r="G66" s="9" t="s">
        <v>16</v>
      </c>
      <c r="H66" s="9" t="s">
        <v>13</v>
      </c>
      <c r="I66" s="9" t="s">
        <v>17</v>
      </c>
      <c r="J66" s="10" t="s">
        <v>58</v>
      </c>
      <c r="K66" s="9" t="s">
        <v>72</v>
      </c>
      <c r="L66" s="9">
        <v>25</v>
      </c>
      <c r="M66" s="11">
        <v>26000</v>
      </c>
      <c r="N66" s="11">
        <v>650000</v>
      </c>
      <c r="O66" s="7" t="str">
        <f>"S"&amp;_xlfn.ISOWEEKNUM(Semaine_1[[#This Row],[Date]])</f>
        <v>S49</v>
      </c>
      <c r="P66" t="str">
        <f>TEXT(Semaine_1[[#This Row],[Date]],"MMMM")</f>
        <v>décembre</v>
      </c>
    </row>
    <row r="67" spans="1:16" x14ac:dyDescent="0.45">
      <c r="A67" s="8">
        <v>45994</v>
      </c>
      <c r="B67" s="9" t="s">
        <v>51</v>
      </c>
      <c r="C67" s="9" t="s">
        <v>52</v>
      </c>
      <c r="D67" s="9" t="s">
        <v>133</v>
      </c>
      <c r="E67" s="9" t="s">
        <v>136</v>
      </c>
      <c r="F67" s="9">
        <v>773170826</v>
      </c>
      <c r="G67" s="9" t="s">
        <v>49</v>
      </c>
      <c r="H67" s="9" t="s">
        <v>13</v>
      </c>
      <c r="I67" s="9" t="s">
        <v>17</v>
      </c>
      <c r="J67" s="10" t="s">
        <v>58</v>
      </c>
      <c r="K67" s="9" t="s">
        <v>32</v>
      </c>
      <c r="L67" s="9">
        <v>1</v>
      </c>
      <c r="M67" s="11">
        <v>19500</v>
      </c>
      <c r="N67" s="11">
        <v>19500</v>
      </c>
      <c r="O67" s="7" t="str">
        <f>"S"&amp;_xlfn.ISOWEEKNUM(Semaine_1[[#This Row],[Date]])</f>
        <v>S49</v>
      </c>
      <c r="P67" t="str">
        <f>TEXT(Semaine_1[[#This Row],[Date]],"MMMM")</f>
        <v>décembre</v>
      </c>
    </row>
    <row r="68" spans="1:16" x14ac:dyDescent="0.45">
      <c r="A68" s="8">
        <v>45994</v>
      </c>
      <c r="B68" s="9" t="s">
        <v>51</v>
      </c>
      <c r="C68" s="9" t="s">
        <v>52</v>
      </c>
      <c r="D68" s="9" t="s">
        <v>133</v>
      </c>
      <c r="E68" s="9" t="s">
        <v>137</v>
      </c>
      <c r="F68" s="9">
        <v>338643675</v>
      </c>
      <c r="G68" s="9" t="s">
        <v>16</v>
      </c>
      <c r="H68" s="9" t="s">
        <v>13</v>
      </c>
      <c r="I68" s="9" t="s">
        <v>17</v>
      </c>
      <c r="J68" s="10" t="s">
        <v>138</v>
      </c>
      <c r="K68" s="9" t="s">
        <v>29</v>
      </c>
      <c r="L68" s="9">
        <v>1</v>
      </c>
      <c r="M68" s="11">
        <v>9750</v>
      </c>
      <c r="N68" s="11">
        <v>9750</v>
      </c>
      <c r="O68" s="7" t="str">
        <f>"S"&amp;_xlfn.ISOWEEKNUM(Semaine_1[[#This Row],[Date]])</f>
        <v>S49</v>
      </c>
      <c r="P68" t="str">
        <f>TEXT(Semaine_1[[#This Row],[Date]],"MMMM")</f>
        <v>décembre</v>
      </c>
    </row>
    <row r="69" spans="1:16" x14ac:dyDescent="0.45">
      <c r="A69" s="8">
        <v>45994</v>
      </c>
      <c r="B69" s="9" t="s">
        <v>51</v>
      </c>
      <c r="C69" s="9" t="s">
        <v>52</v>
      </c>
      <c r="D69" s="9" t="s">
        <v>133</v>
      </c>
      <c r="E69" s="9" t="s">
        <v>137</v>
      </c>
      <c r="F69" s="9">
        <v>338643675</v>
      </c>
      <c r="G69" s="9" t="s">
        <v>16</v>
      </c>
      <c r="H69" s="9" t="s">
        <v>13</v>
      </c>
      <c r="I69" s="9" t="s">
        <v>17</v>
      </c>
      <c r="J69" s="10" t="s">
        <v>138</v>
      </c>
      <c r="K69" s="9" t="s">
        <v>32</v>
      </c>
      <c r="L69" s="9">
        <v>1</v>
      </c>
      <c r="M69" s="11">
        <v>19500</v>
      </c>
      <c r="N69" s="11">
        <v>19500</v>
      </c>
      <c r="O69" s="7" t="str">
        <f>"S"&amp;_xlfn.ISOWEEKNUM(Semaine_1[[#This Row],[Date]])</f>
        <v>S49</v>
      </c>
      <c r="P69" t="str">
        <f>TEXT(Semaine_1[[#This Row],[Date]],"MMMM")</f>
        <v>décembre</v>
      </c>
    </row>
    <row r="70" spans="1:16" x14ac:dyDescent="0.45">
      <c r="A70" s="8">
        <v>45994</v>
      </c>
      <c r="B70" s="9" t="s">
        <v>14</v>
      </c>
      <c r="C70" s="9" t="s">
        <v>15</v>
      </c>
      <c r="D70" s="9" t="s">
        <v>139</v>
      </c>
      <c r="E70" s="9" t="s">
        <v>140</v>
      </c>
      <c r="F70" s="9">
        <v>773661109</v>
      </c>
      <c r="G70" s="9" t="s">
        <v>16</v>
      </c>
      <c r="H70" s="9" t="s">
        <v>13</v>
      </c>
      <c r="I70" s="9" t="s">
        <v>17</v>
      </c>
      <c r="J70" s="10" t="s">
        <v>17</v>
      </c>
      <c r="K70" s="9" t="s">
        <v>29</v>
      </c>
      <c r="L70" s="9">
        <v>2</v>
      </c>
      <c r="M70" s="11">
        <v>9750</v>
      </c>
      <c r="N70" s="11">
        <v>19500</v>
      </c>
      <c r="O70" s="7" t="str">
        <f>"S"&amp;_xlfn.ISOWEEKNUM(Semaine_1[[#This Row],[Date]])</f>
        <v>S49</v>
      </c>
      <c r="P70" t="str">
        <f>TEXT(Semaine_1[[#This Row],[Date]],"MMMM")</f>
        <v>décembre</v>
      </c>
    </row>
    <row r="71" spans="1:16" x14ac:dyDescent="0.45">
      <c r="A71" s="8">
        <v>45994</v>
      </c>
      <c r="B71" s="9" t="s">
        <v>14</v>
      </c>
      <c r="C71" s="9" t="s">
        <v>15</v>
      </c>
      <c r="D71" s="9" t="s">
        <v>139</v>
      </c>
      <c r="E71" s="9" t="s">
        <v>140</v>
      </c>
      <c r="F71" s="9">
        <v>773661109</v>
      </c>
      <c r="G71" s="9" t="s">
        <v>16</v>
      </c>
      <c r="H71" s="9" t="s">
        <v>13</v>
      </c>
      <c r="I71" s="9" t="s">
        <v>17</v>
      </c>
      <c r="J71" s="10" t="s">
        <v>17</v>
      </c>
      <c r="K71" s="9" t="s">
        <v>141</v>
      </c>
      <c r="L71" s="9">
        <v>2</v>
      </c>
      <c r="M71" s="11">
        <v>33500</v>
      </c>
      <c r="N71" s="11">
        <v>67000</v>
      </c>
      <c r="O71" s="7" t="str">
        <f>"S"&amp;_xlfn.ISOWEEKNUM(Semaine_1[[#This Row],[Date]])</f>
        <v>S49</v>
      </c>
      <c r="P71" t="str">
        <f>TEXT(Semaine_1[[#This Row],[Date]],"MMMM")</f>
        <v>décembre</v>
      </c>
    </row>
    <row r="72" spans="1:16" x14ac:dyDescent="0.45">
      <c r="A72" s="8">
        <v>45994</v>
      </c>
      <c r="B72" s="9" t="s">
        <v>88</v>
      </c>
      <c r="C72" s="9" t="s">
        <v>89</v>
      </c>
      <c r="D72" s="9" t="s">
        <v>124</v>
      </c>
      <c r="E72" s="9" t="s">
        <v>142</v>
      </c>
      <c r="F72" s="9">
        <v>781282357</v>
      </c>
      <c r="G72" s="9" t="s">
        <v>16</v>
      </c>
      <c r="H72" s="9" t="s">
        <v>13</v>
      </c>
      <c r="I72" s="9" t="s">
        <v>17</v>
      </c>
      <c r="J72" s="10" t="s">
        <v>21</v>
      </c>
      <c r="K72" s="9" t="s">
        <v>72</v>
      </c>
      <c r="L72" s="9">
        <v>100</v>
      </c>
      <c r="M72" s="11">
        <v>26000</v>
      </c>
      <c r="N72" s="11">
        <v>2600000</v>
      </c>
      <c r="O72" s="7" t="str">
        <f>"S"&amp;_xlfn.ISOWEEKNUM(Semaine_1[[#This Row],[Date]])</f>
        <v>S49</v>
      </c>
      <c r="P72" t="str">
        <f>TEXT(Semaine_1[[#This Row],[Date]],"MMMM")</f>
        <v>décembre</v>
      </c>
    </row>
    <row r="73" spans="1:16" x14ac:dyDescent="0.45">
      <c r="A73" s="8">
        <v>45994</v>
      </c>
      <c r="B73" s="9" t="s">
        <v>88</v>
      </c>
      <c r="C73" s="9" t="s">
        <v>89</v>
      </c>
      <c r="D73" s="9" t="s">
        <v>143</v>
      </c>
      <c r="E73" s="9" t="s">
        <v>144</v>
      </c>
      <c r="F73" s="9">
        <v>771952687</v>
      </c>
      <c r="G73" s="9" t="s">
        <v>16</v>
      </c>
      <c r="H73" s="9" t="s">
        <v>13</v>
      </c>
      <c r="I73" s="9" t="s">
        <v>17</v>
      </c>
      <c r="J73" s="10" t="s">
        <v>21</v>
      </c>
      <c r="K73" s="9" t="s">
        <v>68</v>
      </c>
      <c r="L73" s="9">
        <v>50</v>
      </c>
      <c r="M73" s="11">
        <v>30000</v>
      </c>
      <c r="N73" s="11">
        <v>1500000</v>
      </c>
      <c r="O73" s="7" t="str">
        <f>"S"&amp;_xlfn.ISOWEEKNUM(Semaine_1[[#This Row],[Date]])</f>
        <v>S49</v>
      </c>
      <c r="P73" t="str">
        <f>TEXT(Semaine_1[[#This Row],[Date]],"MMMM")</f>
        <v>décembre</v>
      </c>
    </row>
    <row r="74" spans="1:16" x14ac:dyDescent="0.45">
      <c r="A74" s="8">
        <v>45994</v>
      </c>
      <c r="B74" s="9" t="s">
        <v>14</v>
      </c>
      <c r="C74" s="9" t="s">
        <v>15</v>
      </c>
      <c r="D74" s="9" t="s">
        <v>139</v>
      </c>
      <c r="E74" s="9" t="s">
        <v>145</v>
      </c>
      <c r="F74" s="9">
        <v>773199049</v>
      </c>
      <c r="G74" s="9" t="s">
        <v>16</v>
      </c>
      <c r="H74" s="9" t="s">
        <v>13</v>
      </c>
      <c r="I74" s="9" t="s">
        <v>17</v>
      </c>
      <c r="J74" s="10" t="s">
        <v>17</v>
      </c>
      <c r="K74" s="9" t="s">
        <v>128</v>
      </c>
      <c r="L74" s="9">
        <v>25</v>
      </c>
      <c r="M74" s="11">
        <v>6000</v>
      </c>
      <c r="N74" s="11">
        <v>150000</v>
      </c>
      <c r="O74" s="7" t="str">
        <f>"S"&amp;_xlfn.ISOWEEKNUM(Semaine_1[[#This Row],[Date]])</f>
        <v>S49</v>
      </c>
      <c r="P74" t="str">
        <f>TEXT(Semaine_1[[#This Row],[Date]],"MMMM")</f>
        <v>décembre</v>
      </c>
    </row>
    <row r="75" spans="1:16" ht="28.15" x14ac:dyDescent="0.45">
      <c r="A75" s="8">
        <v>45993</v>
      </c>
      <c r="B75" s="9" t="s">
        <v>34</v>
      </c>
      <c r="C75" s="9" t="s">
        <v>35</v>
      </c>
      <c r="D75" s="9" t="s">
        <v>69</v>
      </c>
      <c r="E75" s="9" t="s">
        <v>146</v>
      </c>
      <c r="F75" s="9">
        <v>775740574</v>
      </c>
      <c r="G75" s="9" t="s">
        <v>16</v>
      </c>
      <c r="H75" s="9" t="s">
        <v>13</v>
      </c>
      <c r="I75" s="9" t="s">
        <v>17</v>
      </c>
      <c r="J75" s="10" t="s">
        <v>147</v>
      </c>
      <c r="K75" s="9" t="s">
        <v>68</v>
      </c>
      <c r="L75" s="9">
        <v>50</v>
      </c>
      <c r="M75" s="11">
        <v>30000</v>
      </c>
      <c r="N75" s="11">
        <v>1500000</v>
      </c>
      <c r="O75" s="7" t="str">
        <f>"S"&amp;_xlfn.ISOWEEKNUM(Semaine_1[[#This Row],[Date]])</f>
        <v>S49</v>
      </c>
      <c r="P75" t="str">
        <f>TEXT(Semaine_1[[#This Row],[Date]],"MMMM")</f>
        <v>décembre</v>
      </c>
    </row>
    <row r="76" spans="1:16" x14ac:dyDescent="0.45">
      <c r="A76" s="8">
        <v>45993</v>
      </c>
      <c r="B76" s="9" t="s">
        <v>14</v>
      </c>
      <c r="C76" s="9" t="s">
        <v>15</v>
      </c>
      <c r="D76" s="9" t="s">
        <v>28</v>
      </c>
      <c r="E76" s="9" t="s">
        <v>148</v>
      </c>
      <c r="F76" s="9">
        <v>777638400</v>
      </c>
      <c r="G76" s="9" t="s">
        <v>49</v>
      </c>
      <c r="H76" s="9" t="s">
        <v>13</v>
      </c>
      <c r="I76" s="9" t="s">
        <v>17</v>
      </c>
      <c r="J76" s="10" t="s">
        <v>149</v>
      </c>
      <c r="K76" s="9" t="s">
        <v>41</v>
      </c>
      <c r="L76" s="9">
        <v>3</v>
      </c>
      <c r="M76" s="11">
        <v>15500</v>
      </c>
      <c r="N76" s="11">
        <v>46500</v>
      </c>
      <c r="O76" s="7" t="str">
        <f>"S"&amp;_xlfn.ISOWEEKNUM(Semaine_1[[#This Row],[Date]])</f>
        <v>S49</v>
      </c>
      <c r="P76" t="str">
        <f>TEXT(Semaine_1[[#This Row],[Date]],"MMMM")</f>
        <v>décembre</v>
      </c>
    </row>
    <row r="77" spans="1:16" x14ac:dyDescent="0.45">
      <c r="A77" s="8">
        <v>45993</v>
      </c>
      <c r="B77" s="9" t="s">
        <v>14</v>
      </c>
      <c r="C77" s="9" t="s">
        <v>15</v>
      </c>
      <c r="D77" s="9" t="s">
        <v>28</v>
      </c>
      <c r="E77" s="9" t="s">
        <v>148</v>
      </c>
      <c r="F77" s="9">
        <v>777638400</v>
      </c>
      <c r="G77" s="9" t="s">
        <v>49</v>
      </c>
      <c r="H77" s="9" t="s">
        <v>13</v>
      </c>
      <c r="I77" s="9" t="s">
        <v>17</v>
      </c>
      <c r="J77" s="10" t="s">
        <v>149</v>
      </c>
      <c r="K77" s="9" t="s">
        <v>31</v>
      </c>
      <c r="L77" s="9">
        <v>5</v>
      </c>
      <c r="M77" s="11">
        <v>15500</v>
      </c>
      <c r="N77" s="11">
        <v>77500</v>
      </c>
      <c r="O77" s="7" t="str">
        <f>"S"&amp;_xlfn.ISOWEEKNUM(Semaine_1[[#This Row],[Date]])</f>
        <v>S49</v>
      </c>
      <c r="P77" t="str">
        <f>TEXT(Semaine_1[[#This Row],[Date]],"MMMM")</f>
        <v>décembre</v>
      </c>
    </row>
    <row r="78" spans="1:16" x14ac:dyDescent="0.45">
      <c r="A78" s="8">
        <v>45993</v>
      </c>
      <c r="B78" s="9" t="s">
        <v>88</v>
      </c>
      <c r="C78" s="9" t="s">
        <v>89</v>
      </c>
      <c r="D78" s="9" t="s">
        <v>113</v>
      </c>
      <c r="E78" s="9" t="s">
        <v>150</v>
      </c>
      <c r="F78" s="9">
        <v>774245132</v>
      </c>
      <c r="G78" s="9" t="s">
        <v>16</v>
      </c>
      <c r="H78" s="9" t="s">
        <v>13</v>
      </c>
      <c r="I78" s="9" t="s">
        <v>17</v>
      </c>
      <c r="J78" s="10" t="s">
        <v>21</v>
      </c>
      <c r="K78" s="9" t="s">
        <v>72</v>
      </c>
      <c r="L78" s="9">
        <v>25</v>
      </c>
      <c r="M78" s="11">
        <v>26000</v>
      </c>
      <c r="N78" s="11">
        <v>650000</v>
      </c>
      <c r="O78" s="7" t="str">
        <f>"S"&amp;_xlfn.ISOWEEKNUM(Semaine_1[[#This Row],[Date]])</f>
        <v>S49</v>
      </c>
      <c r="P78" t="str">
        <f>TEXT(Semaine_1[[#This Row],[Date]],"MMMM")</f>
        <v>décembre</v>
      </c>
    </row>
    <row r="79" spans="1:16" x14ac:dyDescent="0.45">
      <c r="A79" s="8">
        <v>45993</v>
      </c>
      <c r="B79" s="9" t="s">
        <v>51</v>
      </c>
      <c r="C79" s="9" t="s">
        <v>52</v>
      </c>
      <c r="D79" s="9" t="s">
        <v>61</v>
      </c>
      <c r="E79" s="9" t="s">
        <v>151</v>
      </c>
      <c r="F79" s="9">
        <v>775538380</v>
      </c>
      <c r="G79" s="9" t="s">
        <v>16</v>
      </c>
      <c r="H79" s="9" t="s">
        <v>13</v>
      </c>
      <c r="I79" s="9" t="s">
        <v>17</v>
      </c>
      <c r="J79" s="10" t="s">
        <v>138</v>
      </c>
      <c r="K79" s="9" t="s">
        <v>29</v>
      </c>
      <c r="L79" s="9">
        <v>2</v>
      </c>
      <c r="M79" s="11">
        <v>9750</v>
      </c>
      <c r="N79" s="11">
        <v>19500</v>
      </c>
      <c r="O79" s="7" t="str">
        <f>"S"&amp;_xlfn.ISOWEEKNUM(Semaine_1[[#This Row],[Date]])</f>
        <v>S49</v>
      </c>
      <c r="P79" t="str">
        <f>TEXT(Semaine_1[[#This Row],[Date]],"MMMM")</f>
        <v>décembre</v>
      </c>
    </row>
    <row r="80" spans="1:16" x14ac:dyDescent="0.45">
      <c r="A80" s="8">
        <v>45993</v>
      </c>
      <c r="B80" s="9" t="s">
        <v>51</v>
      </c>
      <c r="C80" s="9" t="s">
        <v>52</v>
      </c>
      <c r="D80" s="9" t="s">
        <v>61</v>
      </c>
      <c r="E80" s="9" t="s">
        <v>152</v>
      </c>
      <c r="F80" s="9">
        <v>776367168</v>
      </c>
      <c r="G80" s="9" t="s">
        <v>16</v>
      </c>
      <c r="H80" s="9" t="s">
        <v>13</v>
      </c>
      <c r="I80" s="9" t="s">
        <v>17</v>
      </c>
      <c r="J80" s="10" t="s">
        <v>58</v>
      </c>
      <c r="K80" s="9" t="s">
        <v>72</v>
      </c>
      <c r="L80" s="9">
        <v>32</v>
      </c>
      <c r="M80" s="11">
        <v>26000</v>
      </c>
      <c r="N80" s="11">
        <v>832000</v>
      </c>
      <c r="O80" s="7" t="str">
        <f>"S"&amp;_xlfn.ISOWEEKNUM(Semaine_1[[#This Row],[Date]])</f>
        <v>S49</v>
      </c>
      <c r="P80" t="str">
        <f>TEXT(Semaine_1[[#This Row],[Date]],"MMMM")</f>
        <v>décembre</v>
      </c>
    </row>
    <row r="81" spans="1:16" x14ac:dyDescent="0.45">
      <c r="A81" s="12">
        <v>46000</v>
      </c>
      <c r="B81" s="13" t="s">
        <v>14</v>
      </c>
      <c r="C81" s="13" t="s">
        <v>15</v>
      </c>
      <c r="D81" s="13" t="s">
        <v>153</v>
      </c>
      <c r="E81" s="13" t="s">
        <v>154</v>
      </c>
      <c r="F81" s="13">
        <v>771923397</v>
      </c>
      <c r="G81" s="13" t="s">
        <v>49</v>
      </c>
      <c r="H81" s="13" t="s">
        <v>13</v>
      </c>
      <c r="I81" s="13" t="s">
        <v>17</v>
      </c>
      <c r="J81" s="14" t="s">
        <v>17</v>
      </c>
      <c r="K81" s="13" t="s">
        <v>29</v>
      </c>
      <c r="L81" s="13">
        <v>2</v>
      </c>
      <c r="M81" s="15">
        <v>9750</v>
      </c>
      <c r="N81" s="15">
        <v>19500</v>
      </c>
      <c r="O81" s="16" t="str">
        <f>"S"&amp;_xlfn.ISOWEEKNUM(Semaine_1[[#This Row],[Date]])</f>
        <v>S50</v>
      </c>
      <c r="P81" s="17" t="str">
        <f>TEXT(Semaine_1[[#This Row],[Date]],"MMMM")</f>
        <v>décembre</v>
      </c>
    </row>
    <row r="82" spans="1:16" x14ac:dyDescent="0.45">
      <c r="A82" s="12">
        <v>46000</v>
      </c>
      <c r="B82" s="13" t="s">
        <v>51</v>
      </c>
      <c r="C82" s="13" t="s">
        <v>52</v>
      </c>
      <c r="D82" s="13" t="s">
        <v>155</v>
      </c>
      <c r="E82" s="13" t="s">
        <v>156</v>
      </c>
      <c r="F82" s="13">
        <v>776058374</v>
      </c>
      <c r="G82" s="13" t="s">
        <v>16</v>
      </c>
      <c r="H82" s="13" t="s">
        <v>36</v>
      </c>
      <c r="I82" s="13" t="s">
        <v>17</v>
      </c>
      <c r="J82" s="14" t="s">
        <v>157</v>
      </c>
      <c r="K82" s="13" t="s">
        <v>60</v>
      </c>
      <c r="L82" s="13">
        <v>25</v>
      </c>
      <c r="M82" s="15">
        <v>10500</v>
      </c>
      <c r="N82" s="15">
        <v>262500</v>
      </c>
      <c r="O82" s="16" t="str">
        <f>"S"&amp;_xlfn.ISOWEEKNUM(Semaine_1[[#This Row],[Date]])</f>
        <v>S50</v>
      </c>
      <c r="P82" s="17" t="str">
        <f>TEXT(Semaine_1[[#This Row],[Date]],"MMMM")</f>
        <v>décembre</v>
      </c>
    </row>
    <row r="83" spans="1:16" x14ac:dyDescent="0.45">
      <c r="A83" s="12">
        <v>46000</v>
      </c>
      <c r="B83" s="13" t="s">
        <v>51</v>
      </c>
      <c r="C83" s="13" t="s">
        <v>52</v>
      </c>
      <c r="D83" s="13" t="s">
        <v>155</v>
      </c>
      <c r="E83" s="13" t="s">
        <v>158</v>
      </c>
      <c r="F83" s="13">
        <v>773904335</v>
      </c>
      <c r="G83" s="13" t="s">
        <v>49</v>
      </c>
      <c r="H83" s="13" t="s">
        <v>36</v>
      </c>
      <c r="I83" s="13" t="s">
        <v>17</v>
      </c>
      <c r="J83" s="14" t="s">
        <v>58</v>
      </c>
      <c r="K83" s="13" t="s">
        <v>29</v>
      </c>
      <c r="L83" s="13">
        <v>1</v>
      </c>
      <c r="M83" s="15">
        <v>9750</v>
      </c>
      <c r="N83" s="15">
        <v>9750</v>
      </c>
      <c r="O83" s="16" t="str">
        <f>"S"&amp;_xlfn.ISOWEEKNUM(Semaine_1[[#This Row],[Date]])</f>
        <v>S50</v>
      </c>
      <c r="P83" s="17" t="str">
        <f>TEXT(Semaine_1[[#This Row],[Date]],"MMMM")</f>
        <v>décembre</v>
      </c>
    </row>
    <row r="84" spans="1:16" x14ac:dyDescent="0.45">
      <c r="A84" s="12">
        <v>46000</v>
      </c>
      <c r="B84" s="13" t="s">
        <v>51</v>
      </c>
      <c r="C84" s="13" t="s">
        <v>52</v>
      </c>
      <c r="D84" s="13" t="s">
        <v>98</v>
      </c>
      <c r="E84" s="13" t="s">
        <v>159</v>
      </c>
      <c r="F84" s="13">
        <v>775426848</v>
      </c>
      <c r="G84" s="13" t="s">
        <v>49</v>
      </c>
      <c r="H84" s="13" t="s">
        <v>13</v>
      </c>
      <c r="I84" s="13" t="s">
        <v>17</v>
      </c>
      <c r="J84" s="14" t="s">
        <v>58</v>
      </c>
      <c r="K84" s="13" t="s">
        <v>29</v>
      </c>
      <c r="L84" s="13">
        <v>4</v>
      </c>
      <c r="M84" s="15">
        <v>9750</v>
      </c>
      <c r="N84" s="15">
        <v>39000</v>
      </c>
      <c r="O84" s="16" t="str">
        <f>"S"&amp;_xlfn.ISOWEEKNUM(Semaine_1[[#This Row],[Date]])</f>
        <v>S50</v>
      </c>
      <c r="P84" s="17" t="str">
        <f>TEXT(Semaine_1[[#This Row],[Date]],"MMMM")</f>
        <v>décembre</v>
      </c>
    </row>
    <row r="85" spans="1:16" x14ac:dyDescent="0.45">
      <c r="A85" s="12">
        <v>46000</v>
      </c>
      <c r="B85" s="13" t="s">
        <v>14</v>
      </c>
      <c r="C85" s="13" t="s">
        <v>15</v>
      </c>
      <c r="D85" s="13" t="s">
        <v>153</v>
      </c>
      <c r="E85" s="13" t="s">
        <v>154</v>
      </c>
      <c r="F85" s="13">
        <v>771923397</v>
      </c>
      <c r="G85" s="13" t="s">
        <v>49</v>
      </c>
      <c r="H85" s="13" t="s">
        <v>13</v>
      </c>
      <c r="I85" s="13" t="s">
        <v>17</v>
      </c>
      <c r="J85" s="14" t="s">
        <v>17</v>
      </c>
      <c r="K85" s="13" t="s">
        <v>160</v>
      </c>
      <c r="L85" s="13">
        <v>3</v>
      </c>
      <c r="M85" s="15">
        <v>33500</v>
      </c>
      <c r="N85" s="15">
        <v>100500</v>
      </c>
      <c r="O85" s="16" t="str">
        <f>"S"&amp;_xlfn.ISOWEEKNUM(Semaine_1[[#This Row],[Date]])</f>
        <v>S50</v>
      </c>
      <c r="P85" s="17" t="str">
        <f>TEXT(Semaine_1[[#This Row],[Date]],"MMMM")</f>
        <v>décembre</v>
      </c>
    </row>
    <row r="86" spans="1:16" x14ac:dyDescent="0.45">
      <c r="A86" s="12">
        <v>45999</v>
      </c>
      <c r="B86" s="13" t="s">
        <v>34</v>
      </c>
      <c r="C86" s="13" t="s">
        <v>35</v>
      </c>
      <c r="D86" s="13" t="s">
        <v>131</v>
      </c>
      <c r="E86" s="13" t="s">
        <v>161</v>
      </c>
      <c r="F86" s="13">
        <v>781142243</v>
      </c>
      <c r="G86" s="13" t="s">
        <v>49</v>
      </c>
      <c r="H86" s="13" t="s">
        <v>13</v>
      </c>
      <c r="I86" s="13" t="s">
        <v>17</v>
      </c>
      <c r="J86" s="14" t="s">
        <v>39</v>
      </c>
      <c r="K86" s="13" t="s">
        <v>72</v>
      </c>
      <c r="L86" s="13">
        <v>50</v>
      </c>
      <c r="M86" s="15">
        <v>26000</v>
      </c>
      <c r="N86" s="15">
        <v>1300000</v>
      </c>
      <c r="O86" s="16" t="str">
        <f>"S"&amp;_xlfn.ISOWEEKNUM(Semaine_1[[#This Row],[Date]])</f>
        <v>S50</v>
      </c>
      <c r="P86" s="17" t="str">
        <f>TEXT(Semaine_1[[#This Row],[Date]],"MMMM")</f>
        <v>décembre</v>
      </c>
    </row>
    <row r="87" spans="1:16" x14ac:dyDescent="0.45">
      <c r="A87" s="12">
        <v>45999</v>
      </c>
      <c r="B87" s="13" t="s">
        <v>88</v>
      </c>
      <c r="C87" s="13" t="s">
        <v>89</v>
      </c>
      <c r="D87" s="13" t="s">
        <v>143</v>
      </c>
      <c r="E87" s="13" t="s">
        <v>162</v>
      </c>
      <c r="F87" s="13">
        <v>775171537</v>
      </c>
      <c r="G87" s="13" t="s">
        <v>16</v>
      </c>
      <c r="H87" s="13" t="s">
        <v>13</v>
      </c>
      <c r="I87" s="13" t="s">
        <v>17</v>
      </c>
      <c r="J87" s="14" t="s">
        <v>21</v>
      </c>
      <c r="K87" s="13" t="s">
        <v>72</v>
      </c>
      <c r="L87" s="13">
        <v>25</v>
      </c>
      <c r="M87" s="15">
        <v>26000</v>
      </c>
      <c r="N87" s="15">
        <v>650000</v>
      </c>
      <c r="O87" s="16" t="str">
        <f>"S"&amp;_xlfn.ISOWEEKNUM(Semaine_1[[#This Row],[Date]])</f>
        <v>S50</v>
      </c>
      <c r="P87" s="17" t="str">
        <f>TEXT(Semaine_1[[#This Row],[Date]],"MMMM")</f>
        <v>décembre</v>
      </c>
    </row>
    <row r="88" spans="1:16" x14ac:dyDescent="0.45">
      <c r="A88" s="12">
        <v>45999</v>
      </c>
      <c r="B88" s="13" t="s">
        <v>88</v>
      </c>
      <c r="C88" s="13" t="s">
        <v>89</v>
      </c>
      <c r="D88" s="13" t="s">
        <v>115</v>
      </c>
      <c r="E88" s="13" t="s">
        <v>163</v>
      </c>
      <c r="F88" s="13">
        <v>775541532</v>
      </c>
      <c r="G88" s="13" t="s">
        <v>16</v>
      </c>
      <c r="H88" s="13" t="s">
        <v>13</v>
      </c>
      <c r="I88" s="13" t="s">
        <v>17</v>
      </c>
      <c r="J88" s="14" t="s">
        <v>21</v>
      </c>
      <c r="K88" s="13" t="s">
        <v>72</v>
      </c>
      <c r="L88" s="13">
        <v>25</v>
      </c>
      <c r="M88" s="15">
        <v>26000</v>
      </c>
      <c r="N88" s="15">
        <v>650000</v>
      </c>
      <c r="O88" s="16" t="str">
        <f>"S"&amp;_xlfn.ISOWEEKNUM(Semaine_1[[#This Row],[Date]])</f>
        <v>S50</v>
      </c>
      <c r="P88" s="17" t="str">
        <f>TEXT(Semaine_1[[#This Row],[Date]],"MMMM")</f>
        <v>décembre</v>
      </c>
    </row>
    <row r="89" spans="1:16" x14ac:dyDescent="0.45">
      <c r="A89" s="12">
        <v>45999</v>
      </c>
      <c r="B89" s="13" t="s">
        <v>88</v>
      </c>
      <c r="C89" s="13" t="s">
        <v>89</v>
      </c>
      <c r="D89" s="13" t="s">
        <v>164</v>
      </c>
      <c r="E89" s="13" t="s">
        <v>165</v>
      </c>
      <c r="F89" s="13">
        <v>778056161</v>
      </c>
      <c r="G89" s="13" t="s">
        <v>16</v>
      </c>
      <c r="H89" s="13" t="s">
        <v>13</v>
      </c>
      <c r="I89" s="13" t="s">
        <v>17</v>
      </c>
      <c r="J89" s="14" t="s">
        <v>21</v>
      </c>
      <c r="K89" s="13" t="s">
        <v>72</v>
      </c>
      <c r="L89" s="13">
        <v>25</v>
      </c>
      <c r="M89" s="15">
        <v>26000</v>
      </c>
      <c r="N89" s="15">
        <v>650000</v>
      </c>
      <c r="O89" s="16" t="str">
        <f>"S"&amp;_xlfn.ISOWEEKNUM(Semaine_1[[#This Row],[Date]])</f>
        <v>S50</v>
      </c>
      <c r="P89" s="17" t="str">
        <f>TEXT(Semaine_1[[#This Row],[Date]],"MMMM")</f>
        <v>décembre</v>
      </c>
    </row>
    <row r="90" spans="1:16" x14ac:dyDescent="0.45">
      <c r="A90" s="12">
        <v>46001</v>
      </c>
      <c r="B90" s="13" t="s">
        <v>14</v>
      </c>
      <c r="C90" s="13" t="s">
        <v>15</v>
      </c>
      <c r="D90" s="13" t="s">
        <v>28</v>
      </c>
      <c r="E90" s="13" t="s">
        <v>166</v>
      </c>
      <c r="F90" s="13">
        <v>776169696</v>
      </c>
      <c r="G90" s="13" t="s">
        <v>16</v>
      </c>
      <c r="H90" s="13" t="s">
        <v>13</v>
      </c>
      <c r="I90" s="13" t="s">
        <v>17</v>
      </c>
      <c r="J90" s="14" t="s">
        <v>17</v>
      </c>
      <c r="K90" s="13" t="s">
        <v>68</v>
      </c>
      <c r="L90" s="13">
        <v>25</v>
      </c>
      <c r="M90" s="15">
        <v>30000</v>
      </c>
      <c r="N90" s="15">
        <v>750000</v>
      </c>
      <c r="O90" s="16" t="str">
        <f>"S"&amp;_xlfn.ISOWEEKNUM(Semaine_1[[#This Row],[Date]])</f>
        <v>S50</v>
      </c>
      <c r="P90" s="17" t="str">
        <f>TEXT(Semaine_1[[#This Row],[Date]],"MMMM")</f>
        <v>décembre</v>
      </c>
    </row>
    <row r="91" spans="1:16" x14ac:dyDescent="0.45">
      <c r="A91" s="12">
        <v>46001</v>
      </c>
      <c r="B91" s="13" t="s">
        <v>34</v>
      </c>
      <c r="C91" s="13" t="s">
        <v>35</v>
      </c>
      <c r="D91" s="13" t="s">
        <v>38</v>
      </c>
      <c r="E91" s="13" t="s">
        <v>167</v>
      </c>
      <c r="F91" s="13">
        <v>761490227</v>
      </c>
      <c r="G91" s="13" t="s">
        <v>16</v>
      </c>
      <c r="H91" s="13" t="s">
        <v>13</v>
      </c>
      <c r="I91" s="13" t="s">
        <v>17</v>
      </c>
      <c r="J91" s="14" t="s">
        <v>168</v>
      </c>
      <c r="K91" s="13" t="s">
        <v>29</v>
      </c>
      <c r="L91" s="13">
        <v>26</v>
      </c>
      <c r="M91" s="15">
        <v>9750</v>
      </c>
      <c r="N91" s="15">
        <v>253500</v>
      </c>
      <c r="O91" s="16" t="str">
        <f>"S"&amp;_xlfn.ISOWEEKNUM(Semaine_1[[#This Row],[Date]])</f>
        <v>S50</v>
      </c>
      <c r="P91" s="17" t="str">
        <f>TEXT(Semaine_1[[#This Row],[Date]],"MMMM")</f>
        <v>décembre</v>
      </c>
    </row>
    <row r="92" spans="1:16" ht="42" x14ac:dyDescent="0.45">
      <c r="A92" s="12">
        <v>46001</v>
      </c>
      <c r="B92" s="13" t="s">
        <v>51</v>
      </c>
      <c r="C92" s="13" t="s">
        <v>52</v>
      </c>
      <c r="D92" s="13" t="s">
        <v>129</v>
      </c>
      <c r="E92" s="13" t="s">
        <v>169</v>
      </c>
      <c r="F92" s="13">
        <v>771165277</v>
      </c>
      <c r="G92" s="13" t="s">
        <v>16</v>
      </c>
      <c r="H92" s="13" t="s">
        <v>13</v>
      </c>
      <c r="I92" s="13" t="s">
        <v>17</v>
      </c>
      <c r="J92" s="14" t="s">
        <v>170</v>
      </c>
      <c r="K92" s="13" t="s">
        <v>68</v>
      </c>
      <c r="L92" s="13">
        <v>1</v>
      </c>
      <c r="M92" s="15">
        <v>30000</v>
      </c>
      <c r="N92" s="15">
        <v>30000</v>
      </c>
      <c r="O92" s="16" t="str">
        <f>"S"&amp;_xlfn.ISOWEEKNUM(Semaine_1[[#This Row],[Date]])</f>
        <v>S50</v>
      </c>
      <c r="P92" s="17" t="str">
        <f>TEXT(Semaine_1[[#This Row],[Date]],"MMMM")</f>
        <v>décembre</v>
      </c>
    </row>
    <row r="93" spans="1:16" x14ac:dyDescent="0.45">
      <c r="A93" s="12">
        <v>46001</v>
      </c>
      <c r="B93" s="13" t="s">
        <v>24</v>
      </c>
      <c r="C93" s="13" t="s">
        <v>25</v>
      </c>
      <c r="D93" s="13" t="s">
        <v>26</v>
      </c>
      <c r="E93" s="13" t="s">
        <v>171</v>
      </c>
      <c r="F93" s="13">
        <v>770343860</v>
      </c>
      <c r="G93" s="13" t="s">
        <v>49</v>
      </c>
      <c r="H93" s="13" t="s">
        <v>13</v>
      </c>
      <c r="I93" s="13" t="s">
        <v>17</v>
      </c>
      <c r="J93" s="14" t="s">
        <v>27</v>
      </c>
      <c r="K93" s="13" t="s">
        <v>160</v>
      </c>
      <c r="L93" s="13">
        <v>5</v>
      </c>
      <c r="M93" s="15">
        <v>33500</v>
      </c>
      <c r="N93" s="15">
        <v>167500</v>
      </c>
      <c r="O93" s="16" t="str">
        <f>"S"&amp;_xlfn.ISOWEEKNUM(Semaine_1[[#This Row],[Date]])</f>
        <v>S50</v>
      </c>
      <c r="P93" s="17" t="str">
        <f>TEXT(Semaine_1[[#This Row],[Date]],"MMMM")</f>
        <v>décembre</v>
      </c>
    </row>
    <row r="94" spans="1:16" x14ac:dyDescent="0.45">
      <c r="A94" s="12">
        <v>46001</v>
      </c>
      <c r="B94" s="13" t="s">
        <v>24</v>
      </c>
      <c r="C94" s="13" t="s">
        <v>25</v>
      </c>
      <c r="D94" s="13" t="s">
        <v>26</v>
      </c>
      <c r="E94" s="13" t="s">
        <v>171</v>
      </c>
      <c r="F94" s="13">
        <v>770343860</v>
      </c>
      <c r="G94" s="13" t="s">
        <v>49</v>
      </c>
      <c r="H94" s="13" t="s">
        <v>13</v>
      </c>
      <c r="I94" s="13" t="s">
        <v>17</v>
      </c>
      <c r="J94" s="14" t="s">
        <v>27</v>
      </c>
      <c r="K94" s="13" t="s">
        <v>50</v>
      </c>
      <c r="L94" s="13">
        <v>5</v>
      </c>
      <c r="M94" s="15">
        <v>10000</v>
      </c>
      <c r="N94" s="15">
        <v>50000</v>
      </c>
      <c r="O94" s="16" t="str">
        <f>"S"&amp;_xlfn.ISOWEEKNUM(Semaine_1[[#This Row],[Date]])</f>
        <v>S50</v>
      </c>
      <c r="P94" s="17" t="str">
        <f>TEXT(Semaine_1[[#This Row],[Date]],"MMMM")</f>
        <v>décembre</v>
      </c>
    </row>
    <row r="95" spans="1:16" x14ac:dyDescent="0.45">
      <c r="A95" s="12">
        <v>46001</v>
      </c>
      <c r="B95" s="13" t="s">
        <v>14</v>
      </c>
      <c r="C95" s="13" t="s">
        <v>15</v>
      </c>
      <c r="D95" s="13" t="s">
        <v>28</v>
      </c>
      <c r="E95" s="13" t="s">
        <v>172</v>
      </c>
      <c r="F95" s="13">
        <v>772540776</v>
      </c>
      <c r="G95" s="13" t="s">
        <v>173</v>
      </c>
      <c r="H95" s="13" t="s">
        <v>13</v>
      </c>
      <c r="I95" s="13" t="s">
        <v>17</v>
      </c>
      <c r="J95" s="14" t="s">
        <v>17</v>
      </c>
      <c r="K95" s="13" t="s">
        <v>60</v>
      </c>
      <c r="L95" s="13">
        <v>25</v>
      </c>
      <c r="M95" s="15">
        <v>10500</v>
      </c>
      <c r="N95" s="15">
        <v>262500</v>
      </c>
      <c r="O95" s="16" t="str">
        <f>"S"&amp;_xlfn.ISOWEEKNUM(Semaine_1[[#This Row],[Date]])</f>
        <v>S50</v>
      </c>
      <c r="P95" s="17" t="str">
        <f>TEXT(Semaine_1[[#This Row],[Date]],"MMMM")</f>
        <v>décembre</v>
      </c>
    </row>
    <row r="96" spans="1:16" x14ac:dyDescent="0.45">
      <c r="A96" s="12">
        <v>46001</v>
      </c>
      <c r="B96" s="13" t="s">
        <v>14</v>
      </c>
      <c r="C96" s="13" t="s">
        <v>15</v>
      </c>
      <c r="D96" s="13" t="s">
        <v>153</v>
      </c>
      <c r="E96" s="13" t="s">
        <v>174</v>
      </c>
      <c r="F96" s="13">
        <v>708418609</v>
      </c>
      <c r="G96" s="13" t="s">
        <v>16</v>
      </c>
      <c r="H96" s="13" t="s">
        <v>13</v>
      </c>
      <c r="I96" s="13" t="s">
        <v>17</v>
      </c>
      <c r="J96" s="14" t="s">
        <v>17</v>
      </c>
      <c r="K96" s="13" t="s">
        <v>160</v>
      </c>
      <c r="L96" s="13">
        <v>5</v>
      </c>
      <c r="M96" s="15">
        <v>33500</v>
      </c>
      <c r="N96" s="15">
        <v>167500</v>
      </c>
      <c r="O96" s="16" t="str">
        <f>"S"&amp;_xlfn.ISOWEEKNUM(Semaine_1[[#This Row],[Date]])</f>
        <v>S50</v>
      </c>
      <c r="P96" s="17" t="str">
        <f>TEXT(Semaine_1[[#This Row],[Date]],"MMMM")</f>
        <v>décembre</v>
      </c>
    </row>
    <row r="97" spans="1:16" x14ac:dyDescent="0.45">
      <c r="A97" s="12">
        <v>46001</v>
      </c>
      <c r="B97" s="13" t="s">
        <v>51</v>
      </c>
      <c r="C97" s="13" t="s">
        <v>52</v>
      </c>
      <c r="D97" s="13" t="s">
        <v>98</v>
      </c>
      <c r="E97" s="13" t="s">
        <v>175</v>
      </c>
      <c r="F97" s="13">
        <v>780172121</v>
      </c>
      <c r="G97" s="13" t="s">
        <v>16</v>
      </c>
      <c r="H97" s="13" t="s">
        <v>13</v>
      </c>
      <c r="I97" s="13" t="s">
        <v>17</v>
      </c>
      <c r="J97" s="14" t="s">
        <v>176</v>
      </c>
      <c r="K97" s="13" t="s">
        <v>60</v>
      </c>
      <c r="L97" s="13">
        <v>2</v>
      </c>
      <c r="M97" s="15">
        <v>10500</v>
      </c>
      <c r="N97" s="15">
        <v>21000</v>
      </c>
      <c r="O97" s="16" t="str">
        <f>"S"&amp;_xlfn.ISOWEEKNUM(Semaine_1[[#This Row],[Date]])</f>
        <v>S50</v>
      </c>
      <c r="P97" s="17" t="str">
        <f>TEXT(Semaine_1[[#This Row],[Date]],"MMMM")</f>
        <v>décembre</v>
      </c>
    </row>
    <row r="98" spans="1:16" x14ac:dyDescent="0.45">
      <c r="A98" s="12">
        <v>46001</v>
      </c>
      <c r="B98" s="13" t="s">
        <v>51</v>
      </c>
      <c r="C98" s="13" t="s">
        <v>52</v>
      </c>
      <c r="D98" s="13" t="s">
        <v>61</v>
      </c>
      <c r="E98" s="13" t="s">
        <v>177</v>
      </c>
      <c r="F98" s="13">
        <v>777262311</v>
      </c>
      <c r="G98" s="13" t="s">
        <v>16</v>
      </c>
      <c r="H98" s="13" t="s">
        <v>13</v>
      </c>
      <c r="I98" s="13" t="s">
        <v>17</v>
      </c>
      <c r="J98" s="14" t="s">
        <v>178</v>
      </c>
      <c r="K98" s="13" t="s">
        <v>31</v>
      </c>
      <c r="L98" s="13">
        <v>1</v>
      </c>
      <c r="M98" s="15">
        <v>15500</v>
      </c>
      <c r="N98" s="15">
        <v>15500</v>
      </c>
      <c r="O98" s="16" t="str">
        <f>"S"&amp;_xlfn.ISOWEEKNUM(Semaine_1[[#This Row],[Date]])</f>
        <v>S50</v>
      </c>
      <c r="P98" s="17" t="str">
        <f>TEXT(Semaine_1[[#This Row],[Date]],"MMMM")</f>
        <v>décembre</v>
      </c>
    </row>
    <row r="99" spans="1:16" x14ac:dyDescent="0.45">
      <c r="A99" s="12">
        <v>46002</v>
      </c>
      <c r="B99" s="13" t="s">
        <v>179</v>
      </c>
      <c r="C99" s="13" t="s">
        <v>35</v>
      </c>
      <c r="D99" s="13" t="s">
        <v>180</v>
      </c>
      <c r="E99" s="13" t="s">
        <v>181</v>
      </c>
      <c r="F99" s="13">
        <v>779598695</v>
      </c>
      <c r="G99" s="13" t="s">
        <v>182</v>
      </c>
      <c r="H99" s="13" t="s">
        <v>13</v>
      </c>
      <c r="I99" s="13" t="s">
        <v>17</v>
      </c>
      <c r="J99" s="14" t="s">
        <v>183</v>
      </c>
      <c r="K99" s="13" t="s">
        <v>72</v>
      </c>
      <c r="L99" s="13">
        <v>10</v>
      </c>
      <c r="M99" s="15">
        <v>26000</v>
      </c>
      <c r="N99" s="15">
        <v>260000</v>
      </c>
      <c r="O99" s="16" t="str">
        <f>"S"&amp;_xlfn.ISOWEEKNUM(Semaine_1[[#This Row],[Date]])</f>
        <v>S50</v>
      </c>
      <c r="P99" s="17" t="str">
        <f>TEXT(Semaine_1[[#This Row],[Date]],"MMMM")</f>
        <v>décembre</v>
      </c>
    </row>
    <row r="100" spans="1:16" x14ac:dyDescent="0.45">
      <c r="A100" s="12">
        <v>46002</v>
      </c>
      <c r="B100" s="13" t="s">
        <v>24</v>
      </c>
      <c r="C100" s="13" t="s">
        <v>25</v>
      </c>
      <c r="D100" s="13" t="s">
        <v>26</v>
      </c>
      <c r="E100" s="13" t="s">
        <v>171</v>
      </c>
      <c r="F100" s="13">
        <v>770343860</v>
      </c>
      <c r="G100" s="13" t="s">
        <v>49</v>
      </c>
      <c r="H100" s="13" t="s">
        <v>13</v>
      </c>
      <c r="I100" s="13" t="s">
        <v>17</v>
      </c>
      <c r="J100" s="14" t="s">
        <v>27</v>
      </c>
      <c r="K100" s="13" t="s">
        <v>72</v>
      </c>
      <c r="L100" s="13">
        <v>8</v>
      </c>
      <c r="M100" s="15">
        <v>26000</v>
      </c>
      <c r="N100" s="15">
        <v>208000</v>
      </c>
      <c r="O100" s="16" t="str">
        <f>"S"&amp;_xlfn.ISOWEEKNUM(Semaine_1[[#This Row],[Date]])</f>
        <v>S50</v>
      </c>
      <c r="P100" s="17" t="str">
        <f>TEXT(Semaine_1[[#This Row],[Date]],"MMMM")</f>
        <v>décembre</v>
      </c>
    </row>
    <row r="101" spans="1:16" x14ac:dyDescent="0.45">
      <c r="A101" s="12">
        <v>46002</v>
      </c>
      <c r="B101" s="13" t="s">
        <v>24</v>
      </c>
      <c r="C101" s="13" t="s">
        <v>25</v>
      </c>
      <c r="D101" s="13" t="s">
        <v>26</v>
      </c>
      <c r="E101" s="13" t="s">
        <v>184</v>
      </c>
      <c r="F101" s="13">
        <v>338559870</v>
      </c>
      <c r="G101" s="13" t="s">
        <v>16</v>
      </c>
      <c r="H101" s="13" t="s">
        <v>13</v>
      </c>
      <c r="I101" s="13" t="s">
        <v>17</v>
      </c>
      <c r="J101" s="14" t="s">
        <v>27</v>
      </c>
      <c r="K101" s="13" t="s">
        <v>72</v>
      </c>
      <c r="L101" s="13">
        <v>25</v>
      </c>
      <c r="M101" s="15">
        <v>26000</v>
      </c>
      <c r="N101" s="15">
        <v>650000</v>
      </c>
      <c r="O101" s="16" t="str">
        <f>"S"&amp;_xlfn.ISOWEEKNUM(Semaine_1[[#This Row],[Date]])</f>
        <v>S50</v>
      </c>
      <c r="P101" s="17" t="str">
        <f>TEXT(Semaine_1[[#This Row],[Date]],"MMMM")</f>
        <v>décembre</v>
      </c>
    </row>
    <row r="102" spans="1:16" x14ac:dyDescent="0.45">
      <c r="A102" s="12">
        <v>46002</v>
      </c>
      <c r="B102" s="13" t="s">
        <v>88</v>
      </c>
      <c r="C102" s="13" t="s">
        <v>89</v>
      </c>
      <c r="D102" s="13" t="s">
        <v>115</v>
      </c>
      <c r="E102" s="13" t="s">
        <v>185</v>
      </c>
      <c r="F102" s="13">
        <v>776180875</v>
      </c>
      <c r="G102" s="13" t="s">
        <v>16</v>
      </c>
      <c r="H102" s="13" t="s">
        <v>13</v>
      </c>
      <c r="I102" s="13" t="s">
        <v>17</v>
      </c>
      <c r="J102" s="14" t="s">
        <v>21</v>
      </c>
      <c r="K102" s="13" t="s">
        <v>72</v>
      </c>
      <c r="L102" s="13">
        <v>25</v>
      </c>
      <c r="M102" s="15">
        <v>26000</v>
      </c>
      <c r="N102" s="15">
        <v>650000</v>
      </c>
      <c r="O102" s="16" t="str">
        <f>"S"&amp;_xlfn.ISOWEEKNUM(Semaine_1[[#This Row],[Date]])</f>
        <v>S50</v>
      </c>
      <c r="P102" s="17" t="str">
        <f>TEXT(Semaine_1[[#This Row],[Date]],"MMMM")</f>
        <v>décembre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2025-12-14T18:48:57Z</dcterms:modified>
</cp:coreProperties>
</file>