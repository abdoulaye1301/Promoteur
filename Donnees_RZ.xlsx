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BC88AA1D-B8CC-4573-9CE4-F0877EEA1755}" xr6:coauthVersionLast="47" xr6:coauthVersionMax="47" xr10:uidLastSave="{00000000-0000-0000-0000-000000000000}"/>
  <bookViews>
    <workbookView xWindow="-98" yWindow="-98" windowWidth="19396" windowHeight="10996" tabRatio="470" xr2:uid="{00000000-000D-0000-FFFF-FFFF00000000}"/>
  </bookViews>
  <sheets>
    <sheet name="Semaine 1" sheetId="2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6" i="2" l="1"/>
  <c r="O17" i="2"/>
  <c r="O18" i="2"/>
  <c r="O19" i="2"/>
  <c r="P16" i="2"/>
  <c r="P17" i="2"/>
  <c r="P18" i="2"/>
  <c r="P19" i="2"/>
  <c r="P15" i="2"/>
  <c r="O15" i="2"/>
  <c r="O14" i="2"/>
  <c r="P14" i="2"/>
  <c r="O13" i="2"/>
  <c r="P13" i="2"/>
  <c r="O12" i="2"/>
  <c r="P12" i="2"/>
  <c r="O11" i="2"/>
  <c r="P11" i="2"/>
  <c r="O10" i="2"/>
  <c r="P10" i="2"/>
  <c r="O9" i="2"/>
  <c r="P9" i="2"/>
  <c r="O8" i="2"/>
  <c r="P8" i="2"/>
  <c r="O3" i="2"/>
  <c r="O4" i="2"/>
  <c r="O5" i="2"/>
  <c r="O6" i="2"/>
  <c r="O7" i="2"/>
  <c r="P3" i="2"/>
  <c r="P4" i="2"/>
  <c r="P5" i="2"/>
  <c r="P6" i="2"/>
  <c r="P7" i="2"/>
  <c r="O2" i="2"/>
  <c r="P2" i="2"/>
</calcChain>
</file>

<file path=xl/sharedStrings.xml><?xml version="1.0" encoding="utf-8"?>
<sst xmlns="http://schemas.openxmlformats.org/spreadsheetml/2006/main" count="178" uniqueCount="67">
  <si>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</si>
  <si>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</si>
  <si>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</si>
  <si>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</si>
  <si>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</si>
  <si>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</si>
  <si>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</si>
  <si>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</si>
  <si>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</si>
  <si>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</si>
  <si>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</si>
  <si>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</si>
  <si>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</si>
  <si>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</si>
  <si>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Mame Mareme NDIAYE</t>
  </si>
  <si>
    <t>DKR PLATEAU</t>
  </si>
  <si>
    <t>Grossiste</t>
  </si>
  <si>
    <t>Livraison</t>
  </si>
  <si>
    <t>Ndack NDAO</t>
  </si>
  <si>
    <t>GUEDIAWAYE</t>
  </si>
  <si>
    <t>Prix Total</t>
  </si>
  <si>
    <t>Mois</t>
  </si>
  <si>
    <t>Semaine</t>
  </si>
  <si>
    <t>Ok</t>
  </si>
  <si>
    <t>DIATTA FAYE</t>
  </si>
  <si>
    <t>PNR</t>
  </si>
  <si>
    <t>Ndeye Mareme NDIAYE</t>
  </si>
  <si>
    <t>GRAND YOFF</t>
  </si>
  <si>
    <t>Parcelles</t>
  </si>
  <si>
    <t>Commande livre Aujourd'hui</t>
  </si>
  <si>
    <t>Lait Janus 18gx100</t>
  </si>
  <si>
    <t>DKR Plateau</t>
  </si>
  <si>
    <t>Café pot Refraish 50g</t>
  </si>
  <si>
    <t>Chocolat transparent 200gx24pcs</t>
  </si>
  <si>
    <t>Chocolat jaune 200g x 24 pcs</t>
  </si>
  <si>
    <t>Café Altimo pot 100g x 24 pcs</t>
  </si>
  <si>
    <t>Café Altimo pot 200g x 12 pcs</t>
  </si>
  <si>
    <t>Mbacké</t>
  </si>
  <si>
    <t>Café pot Refraish 200g</t>
  </si>
  <si>
    <t>Grand Yoff</t>
  </si>
  <si>
    <t>Fatoumata TRAORE</t>
  </si>
  <si>
    <t>KEUR MASSAR</t>
  </si>
  <si>
    <t>Dame DIOP</t>
  </si>
  <si>
    <t>Cheikh Ahamadou</t>
  </si>
  <si>
    <t>Client non Partenaire</t>
  </si>
  <si>
    <t>Alune Ndiaye</t>
  </si>
  <si>
    <t>Médina</t>
  </si>
  <si>
    <t>Amadou</t>
  </si>
  <si>
    <t>Café Altimo pot 50g x 24 pcs</t>
  </si>
  <si>
    <t>Etablissement Ilame</t>
  </si>
  <si>
    <t>Elhadj</t>
  </si>
  <si>
    <t>Tivaouane Peulh</t>
  </si>
  <si>
    <t>Mohamed</t>
  </si>
  <si>
    <t>Ras</t>
  </si>
  <si>
    <t>Bargny</t>
  </si>
  <si>
    <t>Wakeur Alpha Thiombane</t>
  </si>
  <si>
    <t>Il dit que les produits sont un peu lent de son côté ces temps ci</t>
  </si>
  <si>
    <t>Guinaw Rail</t>
  </si>
  <si>
    <t>THIERNO KANTE</t>
  </si>
  <si>
    <t>AMINATA NDIAYE</t>
  </si>
  <si>
    <t>Almadie 2</t>
  </si>
  <si>
    <t>Supérette samba 2</t>
  </si>
  <si>
    <t>Superette</t>
  </si>
  <si>
    <t>RAS</t>
  </si>
  <si>
    <t>Chocolat jaune 400g x 12 pcs</t>
  </si>
  <si>
    <t>Chocolat Orange 200g x24 pcs</t>
  </si>
  <si>
    <t>Chocolat Orange 400g x12 pcs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</si>
</sst>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/>
    <xf numFmtId="164" fontId="3" fillId="0" borderId="0" xfId="0" applyNumberFormat="1" applyFont="1"/>
    <xf numFmtId="0" fontId="3" fillId="0" borderId="0" xfId="0" applyFont="1"/>
    <xf numFmtId="0" fontId="3" fillId="0" borderId="0" xfId="0" applyFont="1" applyAlignment="1">
      <alignment wrapText="1"/>
    </xf>
    <xf numFmtId="3" fontId="3" fillId="0" borderId="0" xfId="0" applyNumberFormat="1" applyFont="1"/>
    <xf numFmtId="164" fontId="3" fillId="0" borderId="0" xfId="0" applyNumberFormat="1" applyFont="1" applyFill="1"/>
    <xf numFmtId="0" fontId="3" fillId="0" borderId="0" xfId="0" applyFont="1" applyFill="1"/>
    <xf numFmtId="0" fontId="3" fillId="0" borderId="0" xfId="0" applyFont="1" applyFill="1" applyAlignment="1">
      <alignment wrapText="1"/>
    </xf>
    <xf numFmtId="3" fontId="3" fillId="0" borderId="0" xfId="0" applyNumberFormat="1" applyFont="1" applyFill="1"/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/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19" totalsRowShown="0" headerRowDxfId="18" headerRowBorderDxfId="17" tableBorderDxfId="16">
  <autoFilter ref="A1:P19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19"/>
  <sheetViews>
    <sheetView tabSelected="1" topLeftCell="F1" zoomScale="79" zoomScaleNormal="79" workbookViewId="0">
      <selection activeCell="L24" sqref="L24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20</v>
      </c>
      <c r="O1" s="6" t="s">
        <v>22</v>
      </c>
      <c r="P1" s="1" t="s">
        <v>21</v>
      </c>
    </row>
    <row r="2" spans="1:16" x14ac:dyDescent="0.45">
      <c r="A2" s="8">
        <v>45974</v>
      </c>
      <c r="B2" t="s">
        <v>26</v>
      </c>
      <c r="C2" t="s">
        <v>27</v>
      </c>
      <c r="D2" t="s">
        <v>39</v>
      </c>
      <c r="E2" t="s">
        <v>42</v>
      </c>
      <c r="F2">
        <v>774216339</v>
      </c>
      <c r="G2" t="s">
        <v>16</v>
      </c>
      <c r="H2" t="s">
        <v>13</v>
      </c>
      <c r="I2" t="s">
        <v>17</v>
      </c>
      <c r="J2" s="3" t="s">
        <v>29</v>
      </c>
      <c r="K2" t="s">
        <v>32</v>
      </c>
      <c r="L2">
        <v>5</v>
      </c>
      <c r="M2">
        <v>9750</v>
      </c>
      <c r="N2">
        <v>48750</v>
      </c>
      <c r="O2" s="7" t="str">
        <f>"S"&amp;_xlfn.ISOWEEKNUM(Semaine_1[[#This Row],[Date]])</f>
        <v>S46</v>
      </c>
      <c r="P2" t="str">
        <f>TEXT(Semaine_1[[#This Row],[Date]],"MMMM")</f>
        <v>novembre</v>
      </c>
    </row>
    <row r="3" spans="1:16" x14ac:dyDescent="0.45">
      <c r="A3" s="9">
        <v>45974</v>
      </c>
      <c r="B3" s="10" t="s">
        <v>26</v>
      </c>
      <c r="C3" s="10" t="s">
        <v>27</v>
      </c>
      <c r="D3" s="10" t="s">
        <v>28</v>
      </c>
      <c r="E3" s="10" t="s">
        <v>43</v>
      </c>
      <c r="F3" s="10">
        <v>763500909</v>
      </c>
      <c r="G3" s="10" t="s">
        <v>16</v>
      </c>
      <c r="H3" s="10" t="s">
        <v>44</v>
      </c>
      <c r="I3" s="10" t="s">
        <v>17</v>
      </c>
      <c r="J3" s="11" t="s">
        <v>29</v>
      </c>
      <c r="K3" s="10" t="s">
        <v>38</v>
      </c>
      <c r="L3" s="10">
        <v>25</v>
      </c>
      <c r="M3" s="12">
        <v>19500</v>
      </c>
      <c r="N3" s="12">
        <v>487500</v>
      </c>
      <c r="O3" s="7" t="str">
        <f>"S"&amp;_xlfn.ISOWEEKNUM(Semaine_1[[#This Row],[Date]])</f>
        <v>S46</v>
      </c>
      <c r="P3" t="str">
        <f>TEXT(Semaine_1[[#This Row],[Date]],"MMMM")</f>
        <v>novembre</v>
      </c>
    </row>
    <row r="4" spans="1:16" x14ac:dyDescent="0.45">
      <c r="A4" s="9">
        <v>45974</v>
      </c>
      <c r="B4" s="10" t="s">
        <v>26</v>
      </c>
      <c r="C4" s="10" t="s">
        <v>27</v>
      </c>
      <c r="D4" s="10" t="s">
        <v>28</v>
      </c>
      <c r="E4" s="10" t="s">
        <v>45</v>
      </c>
      <c r="F4" s="10">
        <v>775273147</v>
      </c>
      <c r="G4" s="10" t="s">
        <v>16</v>
      </c>
      <c r="H4" s="10" t="s">
        <v>13</v>
      </c>
      <c r="I4" s="10" t="s">
        <v>17</v>
      </c>
      <c r="J4" s="11" t="s">
        <v>29</v>
      </c>
      <c r="K4" s="10" t="s">
        <v>30</v>
      </c>
      <c r="L4" s="10">
        <v>25</v>
      </c>
      <c r="M4" s="12">
        <v>6000</v>
      </c>
      <c r="N4" s="12">
        <v>150000</v>
      </c>
      <c r="O4" s="7" t="str">
        <f>"S"&amp;_xlfn.ISOWEEKNUM(Semaine_1[[#This Row],[Date]])</f>
        <v>S46</v>
      </c>
      <c r="P4" t="str">
        <f>TEXT(Semaine_1[[#This Row],[Date]],"MMMM")</f>
        <v>novembre</v>
      </c>
    </row>
    <row r="5" spans="1:16" x14ac:dyDescent="0.45">
      <c r="A5" s="9">
        <v>45974</v>
      </c>
      <c r="B5" s="10" t="s">
        <v>26</v>
      </c>
      <c r="C5" s="10" t="s">
        <v>27</v>
      </c>
      <c r="D5" s="10" t="s">
        <v>39</v>
      </c>
      <c r="E5" s="10" t="s">
        <v>42</v>
      </c>
      <c r="F5" s="10">
        <v>774216339</v>
      </c>
      <c r="G5" s="10" t="s">
        <v>16</v>
      </c>
      <c r="H5" s="10" t="s">
        <v>13</v>
      </c>
      <c r="I5" s="10" t="s">
        <v>17</v>
      </c>
      <c r="J5" s="11" t="s">
        <v>29</v>
      </c>
      <c r="K5" s="10" t="s">
        <v>34</v>
      </c>
      <c r="L5" s="10">
        <v>1</v>
      </c>
      <c r="M5" s="12">
        <v>15500</v>
      </c>
      <c r="N5" s="12">
        <v>15500</v>
      </c>
      <c r="O5" s="7" t="str">
        <f>"S"&amp;_xlfn.ISOWEEKNUM(Semaine_1[[#This Row],[Date]])</f>
        <v>S46</v>
      </c>
      <c r="P5" t="str">
        <f>TEXT(Semaine_1[[#This Row],[Date]],"MMMM")</f>
        <v>novembre</v>
      </c>
    </row>
    <row r="6" spans="1:16" x14ac:dyDescent="0.45">
      <c r="A6" s="9">
        <v>45974</v>
      </c>
      <c r="B6" s="10" t="s">
        <v>14</v>
      </c>
      <c r="C6" s="10" t="s">
        <v>15</v>
      </c>
      <c r="D6" s="10" t="s">
        <v>46</v>
      </c>
      <c r="E6" s="10" t="s">
        <v>47</v>
      </c>
      <c r="F6" s="10">
        <v>776256670</v>
      </c>
      <c r="G6" s="10" t="s">
        <v>16</v>
      </c>
      <c r="H6" s="10" t="s">
        <v>13</v>
      </c>
      <c r="I6" s="10" t="s">
        <v>17</v>
      </c>
      <c r="J6" s="11" t="s">
        <v>17</v>
      </c>
      <c r="K6" s="10" t="s">
        <v>36</v>
      </c>
      <c r="L6" s="10">
        <v>1</v>
      </c>
      <c r="M6" s="12">
        <v>33500</v>
      </c>
      <c r="N6" s="12">
        <v>33500</v>
      </c>
      <c r="O6" s="7" t="str">
        <f>"S"&amp;_xlfn.ISOWEEKNUM(Semaine_1[[#This Row],[Date]])</f>
        <v>S46</v>
      </c>
      <c r="P6" t="str">
        <f>TEXT(Semaine_1[[#This Row],[Date]],"MMMM")</f>
        <v>novembre</v>
      </c>
    </row>
    <row r="7" spans="1:16" x14ac:dyDescent="0.45">
      <c r="A7" s="9">
        <v>45974</v>
      </c>
      <c r="B7" s="10" t="s">
        <v>26</v>
      </c>
      <c r="C7" s="10" t="s">
        <v>27</v>
      </c>
      <c r="D7" s="10" t="s">
        <v>39</v>
      </c>
      <c r="E7" s="10" t="s">
        <v>42</v>
      </c>
      <c r="F7" s="10">
        <v>774216339</v>
      </c>
      <c r="G7" s="10" t="s">
        <v>16</v>
      </c>
      <c r="H7" s="10" t="s">
        <v>13</v>
      </c>
      <c r="I7" s="10" t="s">
        <v>17</v>
      </c>
      <c r="J7" s="11" t="s">
        <v>29</v>
      </c>
      <c r="K7" s="10" t="s">
        <v>33</v>
      </c>
      <c r="L7" s="10">
        <v>1</v>
      </c>
      <c r="M7" s="12">
        <v>12500</v>
      </c>
      <c r="N7" s="12">
        <v>12500</v>
      </c>
      <c r="O7" s="7" t="str">
        <f>"S"&amp;_xlfn.ISOWEEKNUM(Semaine_1[[#This Row],[Date]])</f>
        <v>S46</v>
      </c>
      <c r="P7" t="str">
        <f>TEXT(Semaine_1[[#This Row],[Date]],"MMMM")</f>
        <v>novembre</v>
      </c>
    </row>
    <row r="8" spans="1:16" x14ac:dyDescent="0.45">
      <c r="A8" s="9">
        <v>45974</v>
      </c>
      <c r="B8" s="10" t="s">
        <v>14</v>
      </c>
      <c r="C8" s="10" t="s">
        <v>15</v>
      </c>
      <c r="D8" s="10" t="s">
        <v>46</v>
      </c>
      <c r="E8" s="10" t="s">
        <v>47</v>
      </c>
      <c r="F8" s="10">
        <v>776256670</v>
      </c>
      <c r="G8" s="10" t="s">
        <v>16</v>
      </c>
      <c r="H8" s="10" t="s">
        <v>13</v>
      </c>
      <c r="I8" s="10" t="s">
        <v>17</v>
      </c>
      <c r="J8" s="11" t="s">
        <v>17</v>
      </c>
      <c r="K8" s="10" t="s">
        <v>35</v>
      </c>
      <c r="L8" s="10">
        <v>1</v>
      </c>
      <c r="M8" s="12">
        <v>33500</v>
      </c>
      <c r="N8" s="12">
        <v>33500</v>
      </c>
      <c r="O8" s="7" t="str">
        <f>"S"&amp;_xlfn.ISOWEEKNUM(Semaine_1[[#This Row],[Date]])</f>
        <v>S46</v>
      </c>
      <c r="P8" t="str">
        <f>TEXT(Semaine_1[[#This Row],[Date]],"MMMM")</f>
        <v>novembre</v>
      </c>
    </row>
    <row r="9" spans="1:16" x14ac:dyDescent="0.45">
      <c r="A9" s="9">
        <v>45974</v>
      </c>
      <c r="B9" s="10" t="s">
        <v>14</v>
      </c>
      <c r="C9" s="10" t="s">
        <v>15</v>
      </c>
      <c r="D9" s="10" t="s">
        <v>46</v>
      </c>
      <c r="E9" s="10" t="s">
        <v>47</v>
      </c>
      <c r="F9" s="10">
        <v>776256670</v>
      </c>
      <c r="G9" s="10" t="s">
        <v>16</v>
      </c>
      <c r="H9" s="10" t="s">
        <v>13</v>
      </c>
      <c r="I9" s="10" t="s">
        <v>17</v>
      </c>
      <c r="J9" s="11" t="s">
        <v>17</v>
      </c>
      <c r="K9" s="10" t="s">
        <v>48</v>
      </c>
      <c r="L9" s="10">
        <v>1</v>
      </c>
      <c r="M9" s="12">
        <v>17500</v>
      </c>
      <c r="N9" s="12">
        <v>17500</v>
      </c>
      <c r="O9" s="7" t="str">
        <f>"S"&amp;_xlfn.ISOWEEKNUM(Semaine_1[[#This Row],[Date]])</f>
        <v>S46</v>
      </c>
      <c r="P9" t="str">
        <f>TEXT(Semaine_1[[#This Row],[Date]],"MMMM")</f>
        <v>novembre</v>
      </c>
    </row>
    <row r="10" spans="1:16" x14ac:dyDescent="0.45">
      <c r="A10" s="9">
        <v>45974</v>
      </c>
      <c r="B10" s="10" t="s">
        <v>14</v>
      </c>
      <c r="C10" s="10" t="s">
        <v>15</v>
      </c>
      <c r="D10" s="10" t="s">
        <v>31</v>
      </c>
      <c r="E10" s="10" t="s">
        <v>49</v>
      </c>
      <c r="F10" s="10">
        <v>781276269</v>
      </c>
      <c r="G10" s="10" t="s">
        <v>16</v>
      </c>
      <c r="H10" s="10" t="s">
        <v>13</v>
      </c>
      <c r="I10" s="10" t="s">
        <v>17</v>
      </c>
      <c r="J10" s="11" t="s">
        <v>17</v>
      </c>
      <c r="K10" s="10" t="s">
        <v>38</v>
      </c>
      <c r="L10" s="10">
        <v>25</v>
      </c>
      <c r="M10" s="12">
        <v>19500</v>
      </c>
      <c r="N10" s="12">
        <v>487500</v>
      </c>
      <c r="O10" s="7" t="str">
        <f>"S"&amp;_xlfn.ISOWEEKNUM(Semaine_1[[#This Row],[Date]])</f>
        <v>S46</v>
      </c>
      <c r="P10" t="str">
        <f>TEXT(Semaine_1[[#This Row],[Date]],"MMMM")</f>
        <v>novembre</v>
      </c>
    </row>
    <row r="11" spans="1:16" x14ac:dyDescent="0.45">
      <c r="A11" s="9">
        <v>45974</v>
      </c>
      <c r="B11" s="10" t="s">
        <v>14</v>
      </c>
      <c r="C11" s="10" t="s">
        <v>15</v>
      </c>
      <c r="D11" s="10" t="s">
        <v>31</v>
      </c>
      <c r="E11" s="10" t="s">
        <v>37</v>
      </c>
      <c r="F11" s="10">
        <v>779486095</v>
      </c>
      <c r="G11" s="10" t="s">
        <v>16</v>
      </c>
      <c r="H11" s="10" t="s">
        <v>13</v>
      </c>
      <c r="I11" s="10" t="s">
        <v>17</v>
      </c>
      <c r="J11" s="11" t="s">
        <v>17</v>
      </c>
      <c r="K11" s="10" t="s">
        <v>33</v>
      </c>
      <c r="L11" s="10">
        <v>25</v>
      </c>
      <c r="M11" s="12">
        <v>12500</v>
      </c>
      <c r="N11" s="12">
        <v>312500</v>
      </c>
      <c r="O11" s="7" t="str">
        <f>"S"&amp;_xlfn.ISOWEEKNUM(Semaine_1[[#This Row],[Date]])</f>
        <v>S46</v>
      </c>
      <c r="P11" t="str">
        <f>TEXT(Semaine_1[[#This Row],[Date]],"MMMM")</f>
        <v>novembre</v>
      </c>
    </row>
    <row r="12" spans="1:16" x14ac:dyDescent="0.45">
      <c r="A12" s="9">
        <v>45974</v>
      </c>
      <c r="B12" s="10" t="s">
        <v>14</v>
      </c>
      <c r="C12" s="10" t="s">
        <v>15</v>
      </c>
      <c r="D12" s="10" t="s">
        <v>31</v>
      </c>
      <c r="E12" s="10" t="s">
        <v>50</v>
      </c>
      <c r="F12" s="10">
        <v>779676016</v>
      </c>
      <c r="G12" s="10" t="s">
        <v>16</v>
      </c>
      <c r="H12" s="10" t="s">
        <v>13</v>
      </c>
      <c r="I12" s="10" t="s">
        <v>17</v>
      </c>
      <c r="J12" s="11" t="s">
        <v>17</v>
      </c>
      <c r="K12" s="10" t="s">
        <v>38</v>
      </c>
      <c r="L12" s="10">
        <v>25</v>
      </c>
      <c r="M12" s="12">
        <v>19500</v>
      </c>
      <c r="N12" s="12">
        <v>487500</v>
      </c>
      <c r="O12" s="7" t="str">
        <f>"S"&amp;_xlfn.ISOWEEKNUM(Semaine_1[[#This Row],[Date]])</f>
        <v>S46</v>
      </c>
      <c r="P12" t="str">
        <f>TEXT(Semaine_1[[#This Row],[Date]],"MMMM")</f>
        <v>novembre</v>
      </c>
    </row>
    <row r="13" spans="1:16" x14ac:dyDescent="0.45">
      <c r="A13" s="9">
        <v>45973</v>
      </c>
      <c r="B13" s="10" t="s">
        <v>40</v>
      </c>
      <c r="C13" s="10" t="s">
        <v>41</v>
      </c>
      <c r="D13" s="10" t="s">
        <v>51</v>
      </c>
      <c r="E13" s="10" t="s">
        <v>52</v>
      </c>
      <c r="F13" s="10">
        <v>784426640</v>
      </c>
      <c r="G13" s="10" t="s">
        <v>16</v>
      </c>
      <c r="H13" s="10" t="s">
        <v>13</v>
      </c>
      <c r="I13" s="10" t="s">
        <v>17</v>
      </c>
      <c r="J13" s="11" t="s">
        <v>53</v>
      </c>
      <c r="K13" s="10" t="s">
        <v>32</v>
      </c>
      <c r="L13" s="10">
        <v>25</v>
      </c>
      <c r="M13" s="12">
        <v>9750</v>
      </c>
      <c r="N13" s="12">
        <v>243750</v>
      </c>
      <c r="O13" s="7" t="str">
        <f>"S"&amp;_xlfn.ISOWEEKNUM(Semaine_1[[#This Row],[Date]])</f>
        <v>S46</v>
      </c>
      <c r="P13" t="str">
        <f>TEXT(Semaine_1[[#This Row],[Date]],"MMMM")</f>
        <v>novembre</v>
      </c>
    </row>
    <row r="14" spans="1:16" ht="28.15" x14ac:dyDescent="0.45">
      <c r="A14" s="9">
        <v>45973</v>
      </c>
      <c r="B14" s="10" t="s">
        <v>24</v>
      </c>
      <c r="C14" s="10" t="s">
        <v>25</v>
      </c>
      <c r="D14" s="10" t="s">
        <v>54</v>
      </c>
      <c r="E14" s="10" t="s">
        <v>55</v>
      </c>
      <c r="F14" s="10">
        <v>783758073</v>
      </c>
      <c r="G14" s="10" t="s">
        <v>16</v>
      </c>
      <c r="H14" s="10" t="s">
        <v>13</v>
      </c>
      <c r="I14" s="10" t="s">
        <v>17</v>
      </c>
      <c r="J14" s="11" t="s">
        <v>56</v>
      </c>
      <c r="K14" s="10" t="s">
        <v>38</v>
      </c>
      <c r="L14" s="10">
        <v>25</v>
      </c>
      <c r="M14" s="12">
        <v>19500</v>
      </c>
      <c r="N14" s="12">
        <v>487500</v>
      </c>
      <c r="O14" s="7" t="str">
        <f>"S"&amp;_xlfn.ISOWEEKNUM(Semaine_1[[#This Row],[Date]])</f>
        <v>S46</v>
      </c>
      <c r="P14" t="str">
        <f>TEXT(Semaine_1[[#This Row],[Date]],"MMMM")</f>
        <v>novembre</v>
      </c>
    </row>
    <row r="15" spans="1:16" x14ac:dyDescent="0.45">
      <c r="A15" s="9">
        <v>45971</v>
      </c>
      <c r="B15" s="10" t="s">
        <v>18</v>
      </c>
      <c r="C15" s="10" t="s">
        <v>19</v>
      </c>
      <c r="D15" s="10" t="s">
        <v>57</v>
      </c>
      <c r="E15" s="10" t="s">
        <v>58</v>
      </c>
      <c r="F15" s="10">
        <v>775171537</v>
      </c>
      <c r="G15" s="10" t="s">
        <v>16</v>
      </c>
      <c r="H15" s="10" t="s">
        <v>13</v>
      </c>
      <c r="I15" s="10" t="s">
        <v>17</v>
      </c>
      <c r="J15" s="11" t="s">
        <v>23</v>
      </c>
      <c r="K15" s="10" t="s">
        <v>38</v>
      </c>
      <c r="L15" s="10">
        <v>100</v>
      </c>
      <c r="M15" s="12">
        <v>19500</v>
      </c>
      <c r="N15" s="12">
        <v>1950000</v>
      </c>
      <c r="O15" s="7" t="str">
        <f>"S"&amp;_xlfn.ISOWEEKNUM(Semaine_1[[#This Row],[Date]])</f>
        <v>S46</v>
      </c>
      <c r="P15" t="str">
        <f>TEXT(Semaine_1[[#This Row],[Date]],"MMMM")</f>
        <v>novembre</v>
      </c>
    </row>
    <row r="16" spans="1:16" x14ac:dyDescent="0.45">
      <c r="A16" s="13">
        <v>45973</v>
      </c>
      <c r="B16" s="14" t="s">
        <v>59</v>
      </c>
      <c r="C16" s="14" t="s">
        <v>41</v>
      </c>
      <c r="D16" s="14" t="s">
        <v>60</v>
      </c>
      <c r="E16" s="14" t="s">
        <v>61</v>
      </c>
      <c r="F16" s="14">
        <v>771693416</v>
      </c>
      <c r="G16" s="14" t="s">
        <v>62</v>
      </c>
      <c r="H16" s="14" t="s">
        <v>13</v>
      </c>
      <c r="I16" s="14" t="s">
        <v>17</v>
      </c>
      <c r="J16" s="15" t="s">
        <v>63</v>
      </c>
      <c r="K16" s="14" t="s">
        <v>34</v>
      </c>
      <c r="L16" s="14">
        <v>1</v>
      </c>
      <c r="M16" s="16">
        <v>15500</v>
      </c>
      <c r="N16" s="16">
        <v>15500</v>
      </c>
      <c r="O16" s="17" t="str">
        <f>"S"&amp;_xlfn.ISOWEEKNUM(Semaine_1[[#This Row],[Date]])</f>
        <v>S46</v>
      </c>
      <c r="P16" s="18" t="str">
        <f>TEXT(Semaine_1[[#This Row],[Date]],"MMMM")</f>
        <v>novembre</v>
      </c>
    </row>
    <row r="17" spans="1:16" x14ac:dyDescent="0.45">
      <c r="A17" s="13">
        <v>45973</v>
      </c>
      <c r="B17" s="14" t="s">
        <v>59</v>
      </c>
      <c r="C17" s="14" t="s">
        <v>41</v>
      </c>
      <c r="D17" s="14" t="s">
        <v>60</v>
      </c>
      <c r="E17" s="14" t="s">
        <v>61</v>
      </c>
      <c r="F17" s="14">
        <v>771693416</v>
      </c>
      <c r="G17" s="14" t="s">
        <v>62</v>
      </c>
      <c r="H17" s="14" t="s">
        <v>13</v>
      </c>
      <c r="I17" s="14" t="s">
        <v>17</v>
      </c>
      <c r="J17" s="15" t="s">
        <v>63</v>
      </c>
      <c r="K17" s="14" t="s">
        <v>64</v>
      </c>
      <c r="L17" s="14">
        <v>1</v>
      </c>
      <c r="M17" s="16">
        <v>15500</v>
      </c>
      <c r="N17" s="16">
        <v>15500</v>
      </c>
      <c r="O17" s="17" t="str">
        <f>"S"&amp;_xlfn.ISOWEEKNUM(Semaine_1[[#This Row],[Date]])</f>
        <v>S46</v>
      </c>
      <c r="P17" s="18" t="str">
        <f>TEXT(Semaine_1[[#This Row],[Date]],"MMMM")</f>
        <v>novembre</v>
      </c>
    </row>
    <row r="18" spans="1:16" x14ac:dyDescent="0.45">
      <c r="A18" s="13">
        <v>45973</v>
      </c>
      <c r="B18" s="14" t="s">
        <v>59</v>
      </c>
      <c r="C18" s="14" t="s">
        <v>41</v>
      </c>
      <c r="D18" s="14" t="s">
        <v>60</v>
      </c>
      <c r="E18" s="14" t="s">
        <v>61</v>
      </c>
      <c r="F18" s="14">
        <v>771693416</v>
      </c>
      <c r="G18" s="14" t="s">
        <v>62</v>
      </c>
      <c r="H18" s="14" t="s">
        <v>13</v>
      </c>
      <c r="I18" s="14" t="s">
        <v>17</v>
      </c>
      <c r="J18" s="15" t="s">
        <v>63</v>
      </c>
      <c r="K18" s="14" t="s">
        <v>65</v>
      </c>
      <c r="L18" s="14">
        <v>1</v>
      </c>
      <c r="M18" s="16">
        <v>21000</v>
      </c>
      <c r="N18" s="16">
        <v>21000</v>
      </c>
      <c r="O18" s="17" t="str">
        <f>"S"&amp;_xlfn.ISOWEEKNUM(Semaine_1[[#This Row],[Date]])</f>
        <v>S46</v>
      </c>
      <c r="P18" s="18" t="str">
        <f>TEXT(Semaine_1[[#This Row],[Date]],"MMMM")</f>
        <v>novembre</v>
      </c>
    </row>
    <row r="19" spans="1:16" x14ac:dyDescent="0.45">
      <c r="A19" s="13">
        <v>45973</v>
      </c>
      <c r="B19" s="14" t="s">
        <v>59</v>
      </c>
      <c r="C19" s="14" t="s">
        <v>41</v>
      </c>
      <c r="D19" s="14" t="s">
        <v>60</v>
      </c>
      <c r="E19" s="14" t="s">
        <v>61</v>
      </c>
      <c r="F19" s="14">
        <v>771693416</v>
      </c>
      <c r="G19" s="14" t="s">
        <v>62</v>
      </c>
      <c r="H19" s="14" t="s">
        <v>13</v>
      </c>
      <c r="I19" s="14" t="s">
        <v>17</v>
      </c>
      <c r="J19" s="15" t="s">
        <v>63</v>
      </c>
      <c r="K19" s="14" t="s">
        <v>66</v>
      </c>
      <c r="L19" s="14">
        <v>1</v>
      </c>
      <c r="M19" s="16">
        <v>21000</v>
      </c>
      <c r="N19" s="16">
        <v>21000</v>
      </c>
      <c r="O19" s="17" t="str">
        <f>"S"&amp;_xlfn.ISOWEEKNUM(Semaine_1[[#This Row],[Date]])</f>
        <v>S46</v>
      </c>
      <c r="P19" s="18" t="str">
        <f>TEXT(Semaine_1[[#This Row],[Date]],"MMMM")</f>
        <v>novembre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2025-11-16T16:09:02Z</dcterms:modified>
</cp:coreProperties>
</file>