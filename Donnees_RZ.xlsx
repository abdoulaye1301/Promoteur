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7BA7BC2-38C8-4A74-A49A-928D603584B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2" i="2" l="1"/>
  <c r="P242" i="2"/>
  <c r="O241" i="2"/>
  <c r="P241" i="2"/>
  <c r="O240" i="2"/>
  <c r="P240" i="2"/>
  <c r="O239" i="2"/>
  <c r="P239" i="2"/>
  <c r="O234" i="2"/>
  <c r="O235" i="2"/>
  <c r="O236" i="2"/>
  <c r="O237" i="2"/>
  <c r="O238" i="2"/>
  <c r="P234" i="2"/>
  <c r="P235" i="2"/>
  <c r="P236" i="2"/>
  <c r="P237" i="2"/>
  <c r="P238" i="2"/>
  <c r="O233" i="2"/>
  <c r="P233" i="2"/>
  <c r="O232" i="2"/>
  <c r="P232" i="2"/>
  <c r="O228" i="2"/>
  <c r="O229" i="2"/>
  <c r="O230" i="2"/>
  <c r="O231" i="2"/>
  <c r="P228" i="2"/>
  <c r="P229" i="2"/>
  <c r="P230" i="2"/>
  <c r="P231" i="2"/>
  <c r="O227" i="2"/>
  <c r="P227" i="2"/>
  <c r="O226" i="2"/>
  <c r="P226" i="2"/>
  <c r="O224" i="2"/>
  <c r="O225" i="2"/>
  <c r="P224" i="2"/>
  <c r="P225" i="2"/>
  <c r="O223" i="2"/>
  <c r="P223" i="2"/>
  <c r="O220" i="2"/>
  <c r="O221" i="2"/>
  <c r="O222" i="2"/>
  <c r="P220" i="2"/>
  <c r="P221" i="2"/>
  <c r="P222" i="2"/>
  <c r="O214" i="2"/>
  <c r="O215" i="2"/>
  <c r="O216" i="2"/>
  <c r="O217" i="2"/>
  <c r="O218" i="2"/>
  <c r="O219" i="2"/>
  <c r="P214" i="2"/>
  <c r="P215" i="2"/>
  <c r="P216" i="2"/>
  <c r="P217" i="2"/>
  <c r="P218" i="2"/>
  <c r="P219" i="2"/>
  <c r="O213" i="2"/>
  <c r="P213" i="2"/>
  <c r="O212" i="2"/>
  <c r="P212" i="2"/>
  <c r="O194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<sst xmlns="http://schemas.openxmlformats.org/spreadsheetml/2006/main" count="2185" uniqueCount="255">
  <si>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</si>
  <si>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</si>
  <si>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</si>
  <si>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</si>
  <si>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</si>
  <si>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</si>
  <si>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</si>
  <si>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</si>
  <si>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</si>
  <si>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</si>
  <si>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</si>
  <si>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</si>
  <si>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</si>
  <si>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</si>
  <si>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</si>
  <si>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</si>
  <si>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</si>
  <si>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</si>
  <si>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</si>
  <si>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</si>
  <si>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</si>
  <si>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</si>
  <si>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</si>
  <si>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</si>
  <si>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</si>
  <si>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</si>
  <si>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</si>
  <si>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</si>
  <si>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</si>
  <si>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</si>
  <si>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</si>
  <si>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</si>
  <si>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</si>
  <si>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</si>
  <si>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</si>
  <si>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</si>
  <si>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</si>
  <si>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</si>
  <si>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</si>
  <si>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</si>
  <si>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</si>
  <si>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</si>
  <si>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</si>
  <si>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</si>
  <si>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</si>
  <si>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</si>
  <si>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</si>
  <si>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</si>
  <si>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</si>
  <si>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</si>
  <si>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</si>
  <si>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</si>
  <si>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</si>
  <si>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</si>
  <si>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</si>
  <si>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</si>
  <si>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</si>
  <si>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</si>
  <si>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</si>
  <si>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</si>
  <si>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</si>
  <si>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</si>
  <si>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</si>
  <si>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</si>
  <si>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</si>
  <si>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</si>
  <si>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</si>
  <si>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</si>
  <si>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</si>
  <si>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</si>
  <si>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</si>
  <si>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</si>
  <si>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</si>
  <si>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</si>
  <si>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</si>
  <si>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</si>
  <si>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</si>
  <si>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</si>
  <si>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</si>
  <si>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</si>
  <si>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</si>
  <si>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</si>
  <si>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</si>
  <si>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</si>
  <si>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</si>
  <si>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</si>
  <si>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</si>
  <si>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</si>
  <si>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</si>
  <si>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</si>
  <si>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</si>
  <si>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</si>
  <si>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</si>
  <si>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</si>
  <si>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</si>
  <si>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</si>
  <si>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</si>
  <si>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</si>
  <si>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</si>
  <si>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</si>
  <si>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</si>
  <si>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</si>
  <si>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</si>
  <si>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</si>
  <si>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</si>
  <si>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</si>
  <si>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</si>
  <si>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</si>
  <si>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</si>
  <si>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</si>
  <si>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</si>
  <si>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</si>
  <si>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</si>
  <si>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</si>
  <si>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</si>
  <si>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</si>
  <si>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</si>
  <si>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</si>
  <si>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</si>
  <si>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</si>
  <si>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</si>
  <si>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</si>
  <si>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</si>
  <si>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</si>
  <si>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</si>
  <si>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</si>
  <si>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</si>
  <si>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</si>
  <si>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</si>
  <si>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</si>
  <si>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</si>
  <si>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</si>
  <si>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</si>
  <si>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</si>
  <si>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</si>
  <si>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</si>
  <si>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</si>
  <si>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</si>
  <si>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</si>
  <si>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</si>
  <si>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</si>
  <si>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</si>
  <si>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</si>
  <si>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</si>
  <si>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</si>
  <si>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</si>
  <si>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</si>
  <si>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</si>
  <si>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</si>
  <si>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</si>
  <si>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</si>
  <si>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</si>
  <si>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</si>
  <si>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</si>
  <si>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</si>
  <si>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</si>
  <si>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</si>
  <si>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</si>
  <si>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</si>
  <si>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</si>
  <si>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</si>
  <si>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</si>
  <si>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</si>
  <si>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</si>
  <si>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</si>
  <si>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</si>
  <si>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</si>
  <si>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</si>
  <si>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</si>
  <si>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</si>
  <si>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</si>
  <si>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</si>
  <si>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</si>
  <si>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</si>
  <si>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</si>
  <si>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</si>
  <si>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</si>
  <si>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</si>
  <si>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</si>
  <si>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</si>
  <si>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</si>
  <si>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</si>
  <si>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</si>
  <si>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</si>
  <si>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</si>
  <si>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</si>
  <si>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</si>
  <si>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</si>
  <si>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</si>
  <si>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</si>
  <si>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</si>
  <si>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</si>
  <si>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</si>
  <si>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</si>
  <si>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</si>
  <si>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</si>
  <si>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</si>
  <si>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</si>
  <si>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</si>
  <si>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</si>
  <si>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</si>
  <si>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</si>
  <si>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</si>
  <si>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</si>
  <si>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</si>
  <si>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</si>
  <si>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</si>
  <si>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</si>
  <si>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</si>
  <si>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</si>
  <si>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</si>
  <si>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</si>
  <si>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</si>
  <si>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</si>
  <si>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</si>
  <si>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</si>
  <si>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</si>
  <si>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</si>
  <si>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</si>
  <si>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</si>
  <si>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</si>
  <si>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</si>
  <si>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</si>
  <si>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</si>
  <si>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</si>
  <si>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</si>
  <si>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</si>
  <si>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</si>
  <si>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</si>
  <si>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</si>
  <si>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</si>
  <si>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</si>
  <si>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</si>
  <si>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</si>
  <si>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</si>
  <si>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</si>
  <si>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</si>
  <si>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Ousmane</t>
  </si>
  <si>
    <t>Refraish Evapore</t>
  </si>
  <si>
    <t>Khadime SYLLA</t>
  </si>
  <si>
    <t>Abdallah Aïdara</t>
  </si>
  <si>
    <t>Il dit dit que le produit est lente</t>
  </si>
  <si>
    <t>Alimentation</t>
  </si>
  <si>
    <t xml:space="preserve">Je lui est livré le 30 lundi </t>
  </si>
  <si>
    <t>Abdourahmane</t>
  </si>
  <si>
    <t>Livré le lundi 30</t>
  </si>
  <si>
    <t>Niacrobe</t>
  </si>
  <si>
    <t>Momodou</t>
  </si>
  <si>
    <t xml:space="preserve">Je lui ai livré le mardi 31 </t>
  </si>
  <si>
    <t>TBC SARL</t>
  </si>
  <si>
    <t>LAMP</t>
  </si>
  <si>
    <t>Il apprécie la baisse des prix du produit</t>
  </si>
  <si>
    <t>Abdoulakhate SAMB</t>
  </si>
  <si>
    <t xml:space="preserve">Il voulait essayer </t>
  </si>
  <si>
    <t>Mballo Séye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</si>
</sst>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42" totalsRowShown="0" headerRowDxfId="18" headerRowBorderDxfId="17" tableBorderDxfId="16">
  <autoFilter ref="A1:P24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42"/>
  <sheetViews>
    <sheetView tabSelected="1" topLeftCell="J190" zoomScale="79" zoomScaleNormal="79" workbookViewId="0">
      <selection activeCell="A212" sqref="A212:N242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  <row r="212" spans="1:16" x14ac:dyDescent="0.45">
      <c r="A212" s="11">
        <v>46115</v>
      </c>
      <c r="B212" s="12" t="s">
        <v>31</v>
      </c>
      <c r="C212" s="12" t="s">
        <v>32</v>
      </c>
      <c r="D212" s="12" t="s">
        <v>47</v>
      </c>
      <c r="E212" s="12" t="s">
        <v>152</v>
      </c>
      <c r="F212" s="12">
        <v>771166914</v>
      </c>
      <c r="G212" s="12" t="s">
        <v>30</v>
      </c>
      <c r="H212" s="12" t="s">
        <v>13</v>
      </c>
      <c r="I212" s="12" t="s">
        <v>17</v>
      </c>
      <c r="J212" s="12" t="s">
        <v>33</v>
      </c>
      <c r="K212" s="12" t="s">
        <v>145</v>
      </c>
      <c r="L212" s="12">
        <v>1</v>
      </c>
      <c r="M212" s="13">
        <v>17500</v>
      </c>
      <c r="N212" s="13">
        <v>17500</v>
      </c>
      <c r="O212" s="14" t="str">
        <f>"S"&amp;_xlfn.ISOWEEKNUM(Semaine_1[[#This Row],[Date]])</f>
        <v>S14</v>
      </c>
      <c r="P212" s="15" t="str">
        <f>TEXT(Semaine_1[[#This Row],[Date]],"MMMM")</f>
        <v>avril</v>
      </c>
    </row>
    <row r="213" spans="1:16" x14ac:dyDescent="0.45">
      <c r="A213" s="11">
        <v>46115</v>
      </c>
      <c r="B213" s="12" t="s">
        <v>169</v>
      </c>
      <c r="C213" s="12" t="s">
        <v>67</v>
      </c>
      <c r="D213" s="12" t="s">
        <v>83</v>
      </c>
      <c r="E213" s="12" t="s">
        <v>237</v>
      </c>
      <c r="F213" s="12">
        <v>775276149</v>
      </c>
      <c r="G213" s="12" t="s">
        <v>16</v>
      </c>
      <c r="H213" s="12" t="s">
        <v>13</v>
      </c>
      <c r="I213" s="12" t="s">
        <v>17</v>
      </c>
      <c r="J213" s="12" t="s">
        <v>104</v>
      </c>
      <c r="K213" s="12" t="s">
        <v>238</v>
      </c>
      <c r="L213" s="12">
        <v>50</v>
      </c>
      <c r="M213" s="13">
        <v>8750</v>
      </c>
      <c r="N213" s="13">
        <v>437500</v>
      </c>
      <c r="O213" s="14" t="str">
        <f>"S"&amp;_xlfn.ISOWEEKNUM(Semaine_1[[#This Row],[Date]])</f>
        <v>S14</v>
      </c>
      <c r="P213" s="15" t="str">
        <f>TEXT(Semaine_1[[#This Row],[Date]],"MMMM")</f>
        <v>avril</v>
      </c>
    </row>
    <row r="214" spans="1:16" x14ac:dyDescent="0.45">
      <c r="A214" s="11">
        <v>46115</v>
      </c>
      <c r="B214" s="12" t="s">
        <v>31</v>
      </c>
      <c r="C214" s="12" t="s">
        <v>32</v>
      </c>
      <c r="D214" s="12" t="s">
        <v>35</v>
      </c>
      <c r="E214" s="12" t="s">
        <v>182</v>
      </c>
      <c r="F214" s="12">
        <v>775544532</v>
      </c>
      <c r="G214" s="12" t="s">
        <v>30</v>
      </c>
      <c r="H214" s="12" t="s">
        <v>13</v>
      </c>
      <c r="I214" s="12" t="s">
        <v>17</v>
      </c>
      <c r="J214" s="12" t="s">
        <v>33</v>
      </c>
      <c r="K214" s="12" t="s">
        <v>37</v>
      </c>
      <c r="L214" s="12">
        <v>24</v>
      </c>
      <c r="M214" s="13">
        <v>26000</v>
      </c>
      <c r="N214" s="13">
        <v>624000</v>
      </c>
      <c r="O214" s="14" t="str">
        <f>"S"&amp;_xlfn.ISOWEEKNUM(Semaine_1[[#This Row],[Date]])</f>
        <v>S14</v>
      </c>
      <c r="P214" s="15" t="str">
        <f>TEXT(Semaine_1[[#This Row],[Date]],"MMMM")</f>
        <v>avril</v>
      </c>
    </row>
    <row r="215" spans="1:16" ht="28.15" x14ac:dyDescent="0.45">
      <c r="A215" s="11">
        <v>46112</v>
      </c>
      <c r="B215" s="12" t="s">
        <v>170</v>
      </c>
      <c r="C215" s="12" t="s">
        <v>22</v>
      </c>
      <c r="D215" s="12" t="s">
        <v>23</v>
      </c>
      <c r="E215" s="12" t="s">
        <v>239</v>
      </c>
      <c r="F215" s="12">
        <v>776317469</v>
      </c>
      <c r="G215" s="12" t="s">
        <v>16</v>
      </c>
      <c r="H215" s="12" t="s">
        <v>13</v>
      </c>
      <c r="I215" s="12" t="s">
        <v>17</v>
      </c>
      <c r="J215" s="12" t="s">
        <v>21</v>
      </c>
      <c r="K215" s="12" t="s">
        <v>190</v>
      </c>
      <c r="L215" s="12">
        <v>25</v>
      </c>
      <c r="M215" s="13">
        <v>19500</v>
      </c>
      <c r="N215" s="13">
        <v>487500</v>
      </c>
      <c r="O215" s="14" t="str">
        <f>"S"&amp;_xlfn.ISOWEEKNUM(Semaine_1[[#This Row],[Date]])</f>
        <v>S14</v>
      </c>
      <c r="P215" s="15" t="str">
        <f>TEXT(Semaine_1[[#This Row],[Date]],"MMMM")</f>
        <v>mars</v>
      </c>
    </row>
    <row r="216" spans="1:16" ht="28.15" x14ac:dyDescent="0.45">
      <c r="A216" s="11">
        <v>46115</v>
      </c>
      <c r="B216" s="12" t="s">
        <v>170</v>
      </c>
      <c r="C216" s="12" t="s">
        <v>22</v>
      </c>
      <c r="D216" s="12" t="s">
        <v>23</v>
      </c>
      <c r="E216" s="12" t="s">
        <v>45</v>
      </c>
      <c r="F216" s="12">
        <v>775273147</v>
      </c>
      <c r="G216" s="12" t="s">
        <v>16</v>
      </c>
      <c r="H216" s="12" t="s">
        <v>13</v>
      </c>
      <c r="I216" s="12" t="s">
        <v>17</v>
      </c>
      <c r="J216" s="12" t="s">
        <v>21</v>
      </c>
      <c r="K216" s="12" t="s">
        <v>107</v>
      </c>
      <c r="L216" s="12">
        <v>25</v>
      </c>
      <c r="M216" s="13">
        <v>5750</v>
      </c>
      <c r="N216" s="13">
        <v>143750</v>
      </c>
      <c r="O216" s="14" t="str">
        <f>"S"&amp;_xlfn.ISOWEEKNUM(Semaine_1[[#This Row],[Date]])</f>
        <v>S14</v>
      </c>
      <c r="P216" s="15" t="str">
        <f>TEXT(Semaine_1[[#This Row],[Date]],"MMMM")</f>
        <v>avril</v>
      </c>
    </row>
    <row r="217" spans="1:16" x14ac:dyDescent="0.45">
      <c r="A217" s="11">
        <v>46115</v>
      </c>
      <c r="B217" s="12" t="s">
        <v>169</v>
      </c>
      <c r="C217" s="12" t="s">
        <v>67</v>
      </c>
      <c r="D217" s="12" t="s">
        <v>68</v>
      </c>
      <c r="E217" s="12" t="s">
        <v>201</v>
      </c>
      <c r="F217" s="12">
        <v>775485563</v>
      </c>
      <c r="G217" s="12" t="s">
        <v>16</v>
      </c>
      <c r="H217" s="12" t="s">
        <v>13</v>
      </c>
      <c r="I217" s="12" t="s">
        <v>17</v>
      </c>
      <c r="J217" s="12" t="s">
        <v>104</v>
      </c>
      <c r="K217" s="12" t="s">
        <v>238</v>
      </c>
      <c r="L217" s="12">
        <v>10</v>
      </c>
      <c r="M217" s="13">
        <v>8750</v>
      </c>
      <c r="N217" s="13">
        <v>87500</v>
      </c>
      <c r="O217" s="14" t="str">
        <f>"S"&amp;_xlfn.ISOWEEKNUM(Semaine_1[[#This Row],[Date]])</f>
        <v>S14</v>
      </c>
      <c r="P217" s="15" t="str">
        <f>TEXT(Semaine_1[[#This Row],[Date]],"MMMM")</f>
        <v>avril</v>
      </c>
    </row>
    <row r="218" spans="1:16" x14ac:dyDescent="0.45">
      <c r="A218" s="11">
        <v>46115</v>
      </c>
      <c r="B218" s="12" t="s">
        <v>169</v>
      </c>
      <c r="C218" s="12" t="s">
        <v>67</v>
      </c>
      <c r="D218" s="12" t="s">
        <v>83</v>
      </c>
      <c r="E218" s="12" t="s">
        <v>240</v>
      </c>
      <c r="F218" s="12">
        <v>785923657</v>
      </c>
      <c r="G218" s="12" t="s">
        <v>30</v>
      </c>
      <c r="H218" s="12" t="s">
        <v>13</v>
      </c>
      <c r="I218" s="12" t="s">
        <v>17</v>
      </c>
      <c r="J218" s="12" t="s">
        <v>241</v>
      </c>
      <c r="K218" s="12" t="s">
        <v>37</v>
      </c>
      <c r="L218" s="12">
        <v>5</v>
      </c>
      <c r="M218" s="13">
        <v>26000</v>
      </c>
      <c r="N218" s="13">
        <v>130000</v>
      </c>
      <c r="O218" s="14" t="str">
        <f>"S"&amp;_xlfn.ISOWEEKNUM(Semaine_1[[#This Row],[Date]])</f>
        <v>S14</v>
      </c>
      <c r="P218" s="15" t="str">
        <f>TEXT(Semaine_1[[#This Row],[Date]],"MMMM")</f>
        <v>avril</v>
      </c>
    </row>
    <row r="219" spans="1:16" x14ac:dyDescent="0.45">
      <c r="A219" s="11">
        <v>46115</v>
      </c>
      <c r="B219" s="12" t="s">
        <v>169</v>
      </c>
      <c r="C219" s="12" t="s">
        <v>67</v>
      </c>
      <c r="D219" s="12" t="s">
        <v>83</v>
      </c>
      <c r="E219" s="12" t="s">
        <v>152</v>
      </c>
      <c r="F219" s="12">
        <v>782357233</v>
      </c>
      <c r="G219" s="12" t="s">
        <v>242</v>
      </c>
      <c r="H219" s="12" t="s">
        <v>13</v>
      </c>
      <c r="I219" s="12" t="s">
        <v>17</v>
      </c>
      <c r="J219" s="12" t="s">
        <v>104</v>
      </c>
      <c r="K219" s="12" t="s">
        <v>238</v>
      </c>
      <c r="L219" s="12">
        <v>5</v>
      </c>
      <c r="M219" s="13">
        <v>8750</v>
      </c>
      <c r="N219" s="13">
        <v>43750</v>
      </c>
      <c r="O219" s="14" t="str">
        <f>"S"&amp;_xlfn.ISOWEEKNUM(Semaine_1[[#This Row],[Date]])</f>
        <v>S14</v>
      </c>
      <c r="P219" s="15" t="str">
        <f>TEXT(Semaine_1[[#This Row],[Date]],"MMMM")</f>
        <v>avril</v>
      </c>
    </row>
    <row r="220" spans="1:16" ht="28.15" x14ac:dyDescent="0.45">
      <c r="A220" s="11">
        <v>46111</v>
      </c>
      <c r="B220" s="12" t="s">
        <v>25</v>
      </c>
      <c r="C220" s="12" t="s">
        <v>26</v>
      </c>
      <c r="D220" s="12" t="s">
        <v>82</v>
      </c>
      <c r="E220" s="12" t="s">
        <v>234</v>
      </c>
      <c r="F220" s="12">
        <v>766657313</v>
      </c>
      <c r="G220" s="12" t="s">
        <v>16</v>
      </c>
      <c r="H220" s="12" t="s">
        <v>13</v>
      </c>
      <c r="I220" s="12" t="s">
        <v>17</v>
      </c>
      <c r="J220" s="12" t="s">
        <v>243</v>
      </c>
      <c r="K220" s="12" t="s">
        <v>190</v>
      </c>
      <c r="L220" s="12">
        <v>25</v>
      </c>
      <c r="M220" s="13">
        <v>19500</v>
      </c>
      <c r="N220" s="13">
        <v>487500</v>
      </c>
      <c r="O220" s="14" t="str">
        <f>"S"&amp;_xlfn.ISOWEEKNUM(Semaine_1[[#This Row],[Date]])</f>
        <v>S14</v>
      </c>
      <c r="P220" s="15" t="str">
        <f>TEXT(Semaine_1[[#This Row],[Date]],"MMMM")</f>
        <v>mars</v>
      </c>
    </row>
    <row r="221" spans="1:16" ht="28.15" x14ac:dyDescent="0.45">
      <c r="A221" s="11">
        <v>46112</v>
      </c>
      <c r="B221" s="12" t="s">
        <v>25</v>
      </c>
      <c r="C221" s="12" t="s">
        <v>26</v>
      </c>
      <c r="D221" s="12" t="s">
        <v>82</v>
      </c>
      <c r="E221" s="12" t="s">
        <v>244</v>
      </c>
      <c r="F221" s="12">
        <v>781142243</v>
      </c>
      <c r="G221" s="12" t="s">
        <v>30</v>
      </c>
      <c r="H221" s="12" t="s">
        <v>13</v>
      </c>
      <c r="I221" s="12" t="s">
        <v>17</v>
      </c>
      <c r="J221" s="12" t="s">
        <v>245</v>
      </c>
      <c r="K221" s="12" t="s">
        <v>37</v>
      </c>
      <c r="L221" s="12">
        <v>50</v>
      </c>
      <c r="M221" s="13">
        <v>26000</v>
      </c>
      <c r="N221" s="13">
        <v>1300000</v>
      </c>
      <c r="O221" s="14" t="str">
        <f>"S"&amp;_xlfn.ISOWEEKNUM(Semaine_1[[#This Row],[Date]])</f>
        <v>S14</v>
      </c>
      <c r="P221" s="15" t="str">
        <f>TEXT(Semaine_1[[#This Row],[Date]],"MMMM")</f>
        <v>mars</v>
      </c>
    </row>
    <row r="222" spans="1:16" ht="28.15" x14ac:dyDescent="0.45">
      <c r="A222" s="11">
        <v>46111</v>
      </c>
      <c r="B222" s="12" t="s">
        <v>25</v>
      </c>
      <c r="C222" s="12" t="s">
        <v>26</v>
      </c>
      <c r="D222" s="12" t="s">
        <v>38</v>
      </c>
      <c r="E222" s="12" t="s">
        <v>53</v>
      </c>
      <c r="F222" s="12">
        <v>783682649</v>
      </c>
      <c r="G222" s="12" t="s">
        <v>16</v>
      </c>
      <c r="H222" s="12" t="s">
        <v>13</v>
      </c>
      <c r="I222" s="12" t="s">
        <v>17</v>
      </c>
      <c r="J222" s="12" t="s">
        <v>81</v>
      </c>
      <c r="K222" s="12" t="s">
        <v>34</v>
      </c>
      <c r="L222" s="12">
        <v>25</v>
      </c>
      <c r="M222" s="13">
        <v>9250</v>
      </c>
      <c r="N222" s="13">
        <v>231250</v>
      </c>
      <c r="O222" s="14" t="str">
        <f>"S"&amp;_xlfn.ISOWEEKNUM(Semaine_1[[#This Row],[Date]])</f>
        <v>S14</v>
      </c>
      <c r="P222" s="15" t="str">
        <f>TEXT(Semaine_1[[#This Row],[Date]],"MMMM")</f>
        <v>mars</v>
      </c>
    </row>
    <row r="223" spans="1:16" ht="28.15" x14ac:dyDescent="0.45">
      <c r="A223" s="11">
        <v>46111</v>
      </c>
      <c r="B223" s="12" t="s">
        <v>25</v>
      </c>
      <c r="C223" s="12" t="s">
        <v>26</v>
      </c>
      <c r="D223" s="12" t="s">
        <v>246</v>
      </c>
      <c r="E223" s="12" t="s">
        <v>247</v>
      </c>
      <c r="F223" s="12">
        <v>775772788</v>
      </c>
      <c r="G223" s="12" t="s">
        <v>16</v>
      </c>
      <c r="H223" s="12" t="s">
        <v>13</v>
      </c>
      <c r="I223" s="12" t="s">
        <v>17</v>
      </c>
      <c r="J223" s="12" t="s">
        <v>248</v>
      </c>
      <c r="K223" s="12" t="s">
        <v>37</v>
      </c>
      <c r="L223" s="12">
        <v>50</v>
      </c>
      <c r="M223" s="13">
        <v>26000</v>
      </c>
      <c r="N223" s="13">
        <v>1300000</v>
      </c>
      <c r="O223" s="14" t="str">
        <f>"S"&amp;_xlfn.ISOWEEKNUM(Semaine_1[[#This Row],[Date]])</f>
        <v>S14</v>
      </c>
      <c r="P223" s="15" t="str">
        <f>TEXT(Semaine_1[[#This Row],[Date]],"MMMM")</f>
        <v>mars</v>
      </c>
    </row>
    <row r="224" spans="1:16" x14ac:dyDescent="0.45">
      <c r="A224" s="11">
        <v>46114</v>
      </c>
      <c r="B224" s="12" t="s">
        <v>169</v>
      </c>
      <c r="C224" s="12" t="s">
        <v>67</v>
      </c>
      <c r="D224" s="12" t="s">
        <v>68</v>
      </c>
      <c r="E224" s="12" t="s">
        <v>249</v>
      </c>
      <c r="F224" s="12">
        <v>774624747</v>
      </c>
      <c r="G224" s="12" t="s">
        <v>16</v>
      </c>
      <c r="H224" s="12" t="s">
        <v>13</v>
      </c>
      <c r="I224" s="12" t="s">
        <v>17</v>
      </c>
      <c r="J224" s="12" t="s">
        <v>104</v>
      </c>
      <c r="K224" s="12" t="s">
        <v>238</v>
      </c>
      <c r="L224" s="12">
        <v>10</v>
      </c>
      <c r="M224" s="13">
        <v>8750</v>
      </c>
      <c r="N224" s="13">
        <v>87500</v>
      </c>
      <c r="O224" s="14" t="str">
        <f>"S"&amp;_xlfn.ISOWEEKNUM(Semaine_1[[#This Row],[Date]])</f>
        <v>S14</v>
      </c>
      <c r="P224" s="15" t="str">
        <f>TEXT(Semaine_1[[#This Row],[Date]],"MMMM")</f>
        <v>avril</v>
      </c>
    </row>
    <row r="225" spans="1:16" ht="28.15" x14ac:dyDescent="0.45">
      <c r="A225" s="11">
        <v>46113</v>
      </c>
      <c r="B225" s="12" t="s">
        <v>39</v>
      </c>
      <c r="C225" s="12" t="s">
        <v>40</v>
      </c>
      <c r="D225" s="12" t="s">
        <v>44</v>
      </c>
      <c r="E225" s="12" t="s">
        <v>174</v>
      </c>
      <c r="F225" s="12">
        <v>775586604</v>
      </c>
      <c r="G225" s="12" t="s">
        <v>16</v>
      </c>
      <c r="H225" s="12" t="s">
        <v>13</v>
      </c>
      <c r="I225" s="12" t="s">
        <v>17</v>
      </c>
      <c r="J225" s="12" t="s">
        <v>21</v>
      </c>
      <c r="K225" s="12" t="s">
        <v>238</v>
      </c>
      <c r="L225" s="12">
        <v>50</v>
      </c>
      <c r="M225" s="13">
        <v>8750</v>
      </c>
      <c r="N225" s="13">
        <v>437500</v>
      </c>
      <c r="O225" s="14" t="str">
        <f>"S"&amp;_xlfn.ISOWEEKNUM(Semaine_1[[#This Row],[Date]])</f>
        <v>S14</v>
      </c>
      <c r="P225" s="15" t="str">
        <f>TEXT(Semaine_1[[#This Row],[Date]],"MMMM")</f>
        <v>avril</v>
      </c>
    </row>
    <row r="226" spans="1:16" ht="28.15" x14ac:dyDescent="0.45">
      <c r="A226" s="11">
        <v>46112</v>
      </c>
      <c r="B226" s="12" t="s">
        <v>39</v>
      </c>
      <c r="C226" s="12" t="s">
        <v>40</v>
      </c>
      <c r="D226" s="12" t="s">
        <v>44</v>
      </c>
      <c r="E226" s="12" t="s">
        <v>93</v>
      </c>
      <c r="F226" s="12">
        <v>773546192</v>
      </c>
      <c r="G226" s="12" t="s">
        <v>30</v>
      </c>
      <c r="H226" s="12" t="s">
        <v>13</v>
      </c>
      <c r="I226" s="12" t="s">
        <v>17</v>
      </c>
      <c r="J226" s="12" t="s">
        <v>21</v>
      </c>
      <c r="K226" s="12" t="s">
        <v>64</v>
      </c>
      <c r="L226" s="12">
        <v>2</v>
      </c>
      <c r="M226" s="13">
        <v>33500</v>
      </c>
      <c r="N226" s="13">
        <v>67000</v>
      </c>
      <c r="O226" s="14" t="str">
        <f>"S"&amp;_xlfn.ISOWEEKNUM(Semaine_1[[#This Row],[Date]])</f>
        <v>S14</v>
      </c>
      <c r="P226" s="15" t="str">
        <f>TEXT(Semaine_1[[#This Row],[Date]],"MMMM")</f>
        <v>mars</v>
      </c>
    </row>
    <row r="227" spans="1:16" x14ac:dyDescent="0.45">
      <c r="A227" s="11">
        <v>46113</v>
      </c>
      <c r="B227" s="12" t="s">
        <v>31</v>
      </c>
      <c r="C227" s="12" t="s">
        <v>32</v>
      </c>
      <c r="D227" s="12" t="s">
        <v>35</v>
      </c>
      <c r="E227" s="12" t="s">
        <v>182</v>
      </c>
      <c r="F227" s="12">
        <v>775544532</v>
      </c>
      <c r="G227" s="12" t="s">
        <v>30</v>
      </c>
      <c r="H227" s="12" t="s">
        <v>13</v>
      </c>
      <c r="I227" s="12" t="s">
        <v>17</v>
      </c>
      <c r="J227" s="12" t="s">
        <v>33</v>
      </c>
      <c r="K227" s="12" t="s">
        <v>37</v>
      </c>
      <c r="L227" s="12">
        <v>25</v>
      </c>
      <c r="M227" s="13">
        <v>26000</v>
      </c>
      <c r="N227" s="13">
        <v>650000</v>
      </c>
      <c r="O227" s="14" t="str">
        <f>"S"&amp;_xlfn.ISOWEEKNUM(Semaine_1[[#This Row],[Date]])</f>
        <v>S14</v>
      </c>
      <c r="P227" s="15" t="str">
        <f>TEXT(Semaine_1[[#This Row],[Date]],"MMMM")</f>
        <v>avril</v>
      </c>
    </row>
    <row r="228" spans="1:16" x14ac:dyDescent="0.45">
      <c r="A228" s="11">
        <v>46111</v>
      </c>
      <c r="B228" s="12" t="s">
        <v>31</v>
      </c>
      <c r="C228" s="12" t="s">
        <v>32</v>
      </c>
      <c r="D228" s="12" t="s">
        <v>41</v>
      </c>
      <c r="E228" s="12" t="s">
        <v>96</v>
      </c>
      <c r="F228" s="12">
        <v>775197108</v>
      </c>
      <c r="G228" s="12" t="s">
        <v>16</v>
      </c>
      <c r="H228" s="12" t="s">
        <v>13</v>
      </c>
      <c r="I228" s="12" t="s">
        <v>17</v>
      </c>
      <c r="J228" s="12" t="s">
        <v>33</v>
      </c>
      <c r="K228" s="12" t="s">
        <v>107</v>
      </c>
      <c r="L228" s="12">
        <v>1</v>
      </c>
      <c r="M228" s="13">
        <v>6000</v>
      </c>
      <c r="N228" s="13">
        <v>6000</v>
      </c>
      <c r="O228" s="14" t="str">
        <f>"S"&amp;_xlfn.ISOWEEKNUM(Semaine_1[[#This Row],[Date]])</f>
        <v>S14</v>
      </c>
      <c r="P228" s="15" t="str">
        <f>TEXT(Semaine_1[[#This Row],[Date]],"MMMM")</f>
        <v>mars</v>
      </c>
    </row>
    <row r="229" spans="1:16" x14ac:dyDescent="0.45">
      <c r="A229" s="11">
        <v>46113</v>
      </c>
      <c r="B229" s="12" t="s">
        <v>31</v>
      </c>
      <c r="C229" s="12" t="s">
        <v>32</v>
      </c>
      <c r="D229" s="12" t="s">
        <v>41</v>
      </c>
      <c r="E229" s="12" t="s">
        <v>213</v>
      </c>
      <c r="F229" s="12">
        <v>775987400</v>
      </c>
      <c r="G229" s="12" t="s">
        <v>30</v>
      </c>
      <c r="H229" s="12" t="s">
        <v>13</v>
      </c>
      <c r="I229" s="12" t="s">
        <v>17</v>
      </c>
      <c r="J229" s="12" t="s">
        <v>33</v>
      </c>
      <c r="K229" s="12" t="s">
        <v>190</v>
      </c>
      <c r="L229" s="12">
        <v>5</v>
      </c>
      <c r="M229" s="13">
        <v>19500</v>
      </c>
      <c r="N229" s="13">
        <v>97500</v>
      </c>
      <c r="O229" s="14" t="str">
        <f>"S"&amp;_xlfn.ISOWEEKNUM(Semaine_1[[#This Row],[Date]])</f>
        <v>S14</v>
      </c>
      <c r="P229" s="15" t="str">
        <f>TEXT(Semaine_1[[#This Row],[Date]],"MMMM")</f>
        <v>avril</v>
      </c>
    </row>
    <row r="230" spans="1:16" x14ac:dyDescent="0.45">
      <c r="A230" s="11">
        <v>46111</v>
      </c>
      <c r="B230" s="12" t="s">
        <v>31</v>
      </c>
      <c r="C230" s="12" t="s">
        <v>32</v>
      </c>
      <c r="D230" s="12" t="s">
        <v>41</v>
      </c>
      <c r="E230" s="12" t="s">
        <v>213</v>
      </c>
      <c r="F230" s="12">
        <v>775987400</v>
      </c>
      <c r="G230" s="12" t="s">
        <v>30</v>
      </c>
      <c r="H230" s="12" t="s">
        <v>13</v>
      </c>
      <c r="I230" s="12" t="s">
        <v>17</v>
      </c>
      <c r="J230" s="12" t="s">
        <v>33</v>
      </c>
      <c r="K230" s="12" t="s">
        <v>37</v>
      </c>
      <c r="L230" s="12">
        <v>1</v>
      </c>
      <c r="M230" s="13">
        <v>26000</v>
      </c>
      <c r="N230" s="13">
        <v>26000</v>
      </c>
      <c r="O230" s="14" t="str">
        <f>"S"&amp;_xlfn.ISOWEEKNUM(Semaine_1[[#This Row],[Date]])</f>
        <v>S14</v>
      </c>
      <c r="P230" s="15" t="str">
        <f>TEXT(Semaine_1[[#This Row],[Date]],"MMMM")</f>
        <v>mars</v>
      </c>
    </row>
    <row r="231" spans="1:16" ht="28.15" x14ac:dyDescent="0.45">
      <c r="A231" s="11">
        <v>46113</v>
      </c>
      <c r="B231" s="12" t="s">
        <v>31</v>
      </c>
      <c r="C231" s="12" t="s">
        <v>32</v>
      </c>
      <c r="D231" s="12" t="s">
        <v>41</v>
      </c>
      <c r="E231" s="12" t="s">
        <v>58</v>
      </c>
      <c r="F231" s="12">
        <v>775894235</v>
      </c>
      <c r="G231" s="12" t="s">
        <v>16</v>
      </c>
      <c r="H231" s="12" t="s">
        <v>13</v>
      </c>
      <c r="I231" s="12" t="s">
        <v>17</v>
      </c>
      <c r="J231" s="12" t="s">
        <v>49</v>
      </c>
      <c r="K231" s="12" t="s">
        <v>232</v>
      </c>
      <c r="L231" s="12">
        <v>2</v>
      </c>
      <c r="M231" s="13">
        <v>15000</v>
      </c>
      <c r="N231" s="13">
        <v>30000</v>
      </c>
      <c r="O231" s="14" t="str">
        <f>"S"&amp;_xlfn.ISOWEEKNUM(Semaine_1[[#This Row],[Date]])</f>
        <v>S14</v>
      </c>
      <c r="P231" s="15" t="str">
        <f>TEXT(Semaine_1[[#This Row],[Date]],"MMMM")</f>
        <v>avril</v>
      </c>
    </row>
    <row r="232" spans="1:16" x14ac:dyDescent="0.45">
      <c r="A232" s="11">
        <v>46112</v>
      </c>
      <c r="B232" s="12" t="s">
        <v>169</v>
      </c>
      <c r="C232" s="12" t="s">
        <v>67</v>
      </c>
      <c r="D232" s="12" t="s">
        <v>68</v>
      </c>
      <c r="E232" s="12" t="s">
        <v>250</v>
      </c>
      <c r="F232" s="12">
        <v>782990477</v>
      </c>
      <c r="G232" s="12" t="s">
        <v>16</v>
      </c>
      <c r="H232" s="12" t="s">
        <v>13</v>
      </c>
      <c r="I232" s="12" t="s">
        <v>17</v>
      </c>
      <c r="J232" s="12" t="s">
        <v>251</v>
      </c>
      <c r="K232" s="12" t="s">
        <v>36</v>
      </c>
      <c r="L232" s="12">
        <v>25</v>
      </c>
      <c r="M232" s="13">
        <v>28000</v>
      </c>
      <c r="N232" s="13">
        <v>700000</v>
      </c>
      <c r="O232" s="14" t="str">
        <f>"S"&amp;_xlfn.ISOWEEKNUM(Semaine_1[[#This Row],[Date]])</f>
        <v>S14</v>
      </c>
      <c r="P232" s="15" t="str">
        <f>TEXT(Semaine_1[[#This Row],[Date]],"MMMM")</f>
        <v>mars</v>
      </c>
    </row>
    <row r="233" spans="1:16" x14ac:dyDescent="0.45">
      <c r="A233" s="11">
        <v>46112</v>
      </c>
      <c r="B233" s="12" t="s">
        <v>169</v>
      </c>
      <c r="C233" s="12" t="s">
        <v>67</v>
      </c>
      <c r="D233" s="12" t="s">
        <v>68</v>
      </c>
      <c r="E233" s="12" t="s">
        <v>252</v>
      </c>
      <c r="F233" s="12">
        <v>772990477</v>
      </c>
      <c r="G233" s="12" t="s">
        <v>16</v>
      </c>
      <c r="H233" s="12" t="s">
        <v>13</v>
      </c>
      <c r="I233" s="12" t="s">
        <v>17</v>
      </c>
      <c r="J233" s="12" t="s">
        <v>95</v>
      </c>
      <c r="K233" s="12" t="s">
        <v>37</v>
      </c>
      <c r="L233" s="12">
        <v>25</v>
      </c>
      <c r="M233" s="13">
        <v>26000</v>
      </c>
      <c r="N233" s="13">
        <v>650000</v>
      </c>
      <c r="O233" s="14" t="str">
        <f>"S"&amp;_xlfn.ISOWEEKNUM(Semaine_1[[#This Row],[Date]])</f>
        <v>S14</v>
      </c>
      <c r="P233" s="15" t="str">
        <f>TEXT(Semaine_1[[#This Row],[Date]],"MMMM")</f>
        <v>mars</v>
      </c>
    </row>
    <row r="234" spans="1:16" ht="28.15" x14ac:dyDescent="0.45">
      <c r="A234" s="11">
        <v>46112</v>
      </c>
      <c r="B234" s="12" t="s">
        <v>39</v>
      </c>
      <c r="C234" s="12" t="s">
        <v>40</v>
      </c>
      <c r="D234" s="12" t="s">
        <v>44</v>
      </c>
      <c r="E234" s="12" t="s">
        <v>173</v>
      </c>
      <c r="F234" s="12">
        <v>784537895</v>
      </c>
      <c r="G234" s="12" t="s">
        <v>16</v>
      </c>
      <c r="H234" s="12" t="s">
        <v>13</v>
      </c>
      <c r="I234" s="12" t="s">
        <v>17</v>
      </c>
      <c r="J234" s="12" t="s">
        <v>21</v>
      </c>
      <c r="K234" s="12" t="s">
        <v>238</v>
      </c>
      <c r="L234" s="12">
        <v>50</v>
      </c>
      <c r="M234" s="13">
        <v>8750</v>
      </c>
      <c r="N234" s="13">
        <v>437500</v>
      </c>
      <c r="O234" s="14" t="str">
        <f>"S"&amp;_xlfn.ISOWEEKNUM(Semaine_1[[#This Row],[Date]])</f>
        <v>S14</v>
      </c>
      <c r="P234" s="15" t="str">
        <f>TEXT(Semaine_1[[#This Row],[Date]],"MMMM")</f>
        <v>mars</v>
      </c>
    </row>
    <row r="235" spans="1:16" ht="28.15" x14ac:dyDescent="0.45">
      <c r="A235" s="11">
        <v>46112</v>
      </c>
      <c r="B235" s="12" t="s">
        <v>39</v>
      </c>
      <c r="C235" s="12" t="s">
        <v>40</v>
      </c>
      <c r="D235" s="12" t="s">
        <v>44</v>
      </c>
      <c r="E235" s="12" t="s">
        <v>173</v>
      </c>
      <c r="F235" s="12">
        <v>784537895</v>
      </c>
      <c r="G235" s="12" t="s">
        <v>16</v>
      </c>
      <c r="H235" s="12" t="s">
        <v>13</v>
      </c>
      <c r="I235" s="12" t="s">
        <v>17</v>
      </c>
      <c r="J235" s="12" t="s">
        <v>21</v>
      </c>
      <c r="K235" s="12" t="s">
        <v>34</v>
      </c>
      <c r="L235" s="12">
        <v>50</v>
      </c>
      <c r="M235" s="13">
        <v>8750</v>
      </c>
      <c r="N235" s="13">
        <v>437500</v>
      </c>
      <c r="O235" s="14" t="str">
        <f>"S"&amp;_xlfn.ISOWEEKNUM(Semaine_1[[#This Row],[Date]])</f>
        <v>S14</v>
      </c>
      <c r="P235" s="15" t="str">
        <f>TEXT(Semaine_1[[#This Row],[Date]],"MMMM")</f>
        <v>mars</v>
      </c>
    </row>
    <row r="236" spans="1:16" x14ac:dyDescent="0.45">
      <c r="A236" s="11">
        <v>46112</v>
      </c>
      <c r="B236" s="12" t="s">
        <v>31</v>
      </c>
      <c r="C236" s="12" t="s">
        <v>32</v>
      </c>
      <c r="D236" s="12" t="s">
        <v>47</v>
      </c>
      <c r="E236" s="12" t="s">
        <v>48</v>
      </c>
      <c r="F236" s="12">
        <v>777096402</v>
      </c>
      <c r="G236" s="12" t="s">
        <v>16</v>
      </c>
      <c r="H236" s="12" t="s">
        <v>13</v>
      </c>
      <c r="I236" s="12" t="s">
        <v>17</v>
      </c>
      <c r="J236" s="12" t="s">
        <v>49</v>
      </c>
      <c r="K236" s="12" t="s">
        <v>238</v>
      </c>
      <c r="L236" s="12">
        <v>10</v>
      </c>
      <c r="M236" s="13">
        <v>8750</v>
      </c>
      <c r="N236" s="13">
        <v>87500</v>
      </c>
      <c r="O236" s="14" t="str">
        <f>"S"&amp;_xlfn.ISOWEEKNUM(Semaine_1[[#This Row],[Date]])</f>
        <v>S14</v>
      </c>
      <c r="P236" s="15" t="str">
        <f>TEXT(Semaine_1[[#This Row],[Date]],"MMMM")</f>
        <v>mars</v>
      </c>
    </row>
    <row r="237" spans="1:16" x14ac:dyDescent="0.45">
      <c r="A237" s="11">
        <v>46112</v>
      </c>
      <c r="B237" s="12" t="s">
        <v>31</v>
      </c>
      <c r="C237" s="12" t="s">
        <v>32</v>
      </c>
      <c r="D237" s="12" t="s">
        <v>47</v>
      </c>
      <c r="E237" s="12" t="s">
        <v>48</v>
      </c>
      <c r="F237" s="12">
        <v>777096402</v>
      </c>
      <c r="G237" s="12" t="s">
        <v>16</v>
      </c>
      <c r="H237" s="12" t="s">
        <v>13</v>
      </c>
      <c r="I237" s="12" t="s">
        <v>17</v>
      </c>
      <c r="J237" s="12" t="s">
        <v>49</v>
      </c>
      <c r="K237" s="12" t="s">
        <v>37</v>
      </c>
      <c r="L237" s="12">
        <v>1</v>
      </c>
      <c r="M237" s="13">
        <v>26000</v>
      </c>
      <c r="N237" s="13">
        <v>26000</v>
      </c>
      <c r="O237" s="14" t="str">
        <f>"S"&amp;_xlfn.ISOWEEKNUM(Semaine_1[[#This Row],[Date]])</f>
        <v>S14</v>
      </c>
      <c r="P237" s="15" t="str">
        <f>TEXT(Semaine_1[[#This Row],[Date]],"MMMM")</f>
        <v>mars</v>
      </c>
    </row>
    <row r="238" spans="1:16" x14ac:dyDescent="0.45">
      <c r="A238" s="11">
        <v>46112</v>
      </c>
      <c r="B238" s="12" t="s">
        <v>31</v>
      </c>
      <c r="C238" s="12" t="s">
        <v>32</v>
      </c>
      <c r="D238" s="12" t="s">
        <v>47</v>
      </c>
      <c r="E238" s="12" t="s">
        <v>48</v>
      </c>
      <c r="F238" s="12">
        <v>777096402</v>
      </c>
      <c r="G238" s="12" t="s">
        <v>16</v>
      </c>
      <c r="H238" s="12" t="s">
        <v>13</v>
      </c>
      <c r="I238" s="12" t="s">
        <v>17</v>
      </c>
      <c r="J238" s="12" t="s">
        <v>49</v>
      </c>
      <c r="K238" s="12" t="s">
        <v>34</v>
      </c>
      <c r="L238" s="12">
        <v>55</v>
      </c>
      <c r="M238" s="13">
        <v>8750</v>
      </c>
      <c r="N238" s="13">
        <v>481250</v>
      </c>
      <c r="O238" s="14" t="str">
        <f>"S"&amp;_xlfn.ISOWEEKNUM(Semaine_1[[#This Row],[Date]])</f>
        <v>S14</v>
      </c>
      <c r="P238" s="15" t="str">
        <f>TEXT(Semaine_1[[#This Row],[Date]],"MMMM")</f>
        <v>mars</v>
      </c>
    </row>
    <row r="239" spans="1:16" ht="28.15" x14ac:dyDescent="0.45">
      <c r="A239" s="11">
        <v>46112</v>
      </c>
      <c r="B239" s="12" t="s">
        <v>14</v>
      </c>
      <c r="C239" s="12" t="s">
        <v>15</v>
      </c>
      <c r="D239" s="12" t="s">
        <v>85</v>
      </c>
      <c r="E239" s="12" t="s">
        <v>134</v>
      </c>
      <c r="F239" s="12">
        <v>774414059</v>
      </c>
      <c r="G239" s="12" t="s">
        <v>16</v>
      </c>
      <c r="H239" s="12" t="s">
        <v>13</v>
      </c>
      <c r="I239" s="12" t="s">
        <v>17</v>
      </c>
      <c r="J239" s="12" t="s">
        <v>65</v>
      </c>
      <c r="K239" s="12" t="s">
        <v>34</v>
      </c>
      <c r="L239" s="12">
        <v>50</v>
      </c>
      <c r="M239" s="13">
        <v>8750</v>
      </c>
      <c r="N239" s="13">
        <v>437500</v>
      </c>
      <c r="O239" s="14" t="str">
        <f>"S"&amp;_xlfn.ISOWEEKNUM(Semaine_1[[#This Row],[Date]])</f>
        <v>S14</v>
      </c>
      <c r="P239" s="15" t="str">
        <f>TEXT(Semaine_1[[#This Row],[Date]],"MMMM")</f>
        <v>mars</v>
      </c>
    </row>
    <row r="240" spans="1:16" x14ac:dyDescent="0.45">
      <c r="A240" s="11">
        <v>46111</v>
      </c>
      <c r="B240" s="12" t="s">
        <v>169</v>
      </c>
      <c r="C240" s="12" t="s">
        <v>67</v>
      </c>
      <c r="D240" s="12" t="s">
        <v>75</v>
      </c>
      <c r="E240" s="12" t="s">
        <v>227</v>
      </c>
      <c r="F240" s="12">
        <v>774993694</v>
      </c>
      <c r="G240" s="12" t="s">
        <v>16</v>
      </c>
      <c r="H240" s="12" t="s">
        <v>13</v>
      </c>
      <c r="I240" s="12" t="s">
        <v>17</v>
      </c>
      <c r="J240" s="12" t="s">
        <v>253</v>
      </c>
      <c r="K240" s="12" t="s">
        <v>190</v>
      </c>
      <c r="L240" s="12">
        <v>25</v>
      </c>
      <c r="M240" s="13">
        <v>19500</v>
      </c>
      <c r="N240" s="13">
        <v>487500</v>
      </c>
      <c r="O240" s="14" t="str">
        <f>"S"&amp;_xlfn.ISOWEEKNUM(Semaine_1[[#This Row],[Date]])</f>
        <v>S14</v>
      </c>
      <c r="P240" s="15" t="str">
        <f>TEXT(Semaine_1[[#This Row],[Date]],"MMMM")</f>
        <v>mars</v>
      </c>
    </row>
    <row r="241" spans="1:16" x14ac:dyDescent="0.45">
      <c r="A241" s="11">
        <v>46111</v>
      </c>
      <c r="B241" s="12" t="s">
        <v>169</v>
      </c>
      <c r="C241" s="12" t="s">
        <v>67</v>
      </c>
      <c r="D241" s="12" t="s">
        <v>68</v>
      </c>
      <c r="E241" s="12" t="s">
        <v>254</v>
      </c>
      <c r="F241" s="12">
        <v>765434141</v>
      </c>
      <c r="G241" s="12" t="s">
        <v>16</v>
      </c>
      <c r="H241" s="12" t="s">
        <v>13</v>
      </c>
      <c r="I241" s="12" t="s">
        <v>17</v>
      </c>
      <c r="J241" s="12" t="s">
        <v>95</v>
      </c>
      <c r="K241" s="12" t="s">
        <v>37</v>
      </c>
      <c r="L241" s="12">
        <v>25</v>
      </c>
      <c r="M241" s="13">
        <v>26000</v>
      </c>
      <c r="N241" s="13">
        <v>650000</v>
      </c>
      <c r="O241" s="14" t="str">
        <f>"S"&amp;_xlfn.ISOWEEKNUM(Semaine_1[[#This Row],[Date]])</f>
        <v>S14</v>
      </c>
      <c r="P241" s="15" t="str">
        <f>TEXT(Semaine_1[[#This Row],[Date]],"MMMM")</f>
        <v>mars</v>
      </c>
    </row>
    <row r="242" spans="1:16" x14ac:dyDescent="0.45">
      <c r="A242" s="11">
        <v>46111</v>
      </c>
      <c r="B242" s="12" t="s">
        <v>31</v>
      </c>
      <c r="C242" s="12" t="s">
        <v>32</v>
      </c>
      <c r="D242" s="12" t="s">
        <v>35</v>
      </c>
      <c r="E242" s="12" t="s">
        <v>182</v>
      </c>
      <c r="F242" s="12">
        <v>775544532</v>
      </c>
      <c r="G242" s="12" t="s">
        <v>30</v>
      </c>
      <c r="H242" s="12" t="s">
        <v>13</v>
      </c>
      <c r="I242" s="12" t="s">
        <v>17</v>
      </c>
      <c r="J242" s="12" t="s">
        <v>33</v>
      </c>
      <c r="K242" s="12" t="s">
        <v>37</v>
      </c>
      <c r="L242" s="12">
        <v>25</v>
      </c>
      <c r="M242" s="13">
        <v>26000</v>
      </c>
      <c r="N242" s="13">
        <v>650000</v>
      </c>
      <c r="O242" s="14" t="str">
        <f>"S"&amp;_xlfn.ISOWEEKNUM(Semaine_1[[#This Row],[Date]])</f>
        <v>S14</v>
      </c>
      <c r="P242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2026-04-05T16:05:09Z</dcterms:modified>
</cp:coreProperties>
</file>