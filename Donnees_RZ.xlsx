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DF9852D-B342-419D-ABDB-24968E31DCC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2" i="2" l="1"/>
  <c r="O143" i="2"/>
  <c r="O144" i="2"/>
  <c r="O145" i="2"/>
  <c r="O146" i="2"/>
  <c r="O147" i="2"/>
  <c r="O148" i="2"/>
  <c r="O149" i="2"/>
  <c r="O150" i="2"/>
  <c r="O151" i="2"/>
  <c r="O152" i="2"/>
  <c r="O153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P152" i="2"/>
  <c r="P153" i="2"/>
  <c r="P151" i="2"/>
  <c r="P149" i="2"/>
  <c r="P150" i="2"/>
  <c r="P148" i="2"/>
  <c r="P145" i="2"/>
  <c r="P146" i="2"/>
  <c r="P147" i="2"/>
  <c r="P144" i="2"/>
  <c r="P143" i="2"/>
  <c r="P141" i="2"/>
  <c r="P142" i="2"/>
  <c r="P140" i="2"/>
  <c r="P139" i="2"/>
  <c r="P136" i="2"/>
  <c r="P137" i="2"/>
  <c r="P138" i="2"/>
  <c r="P135" i="2"/>
  <c r="P134" i="2"/>
  <c r="P133" i="2"/>
  <c r="P132" i="2"/>
  <c r="P131" i="2"/>
  <c r="P130" i="2"/>
  <c r="P129" i="2"/>
  <c r="P128" i="2"/>
  <c r="P127" i="2"/>
  <c r="P122" i="2"/>
  <c r="P123" i="2"/>
  <c r="P124" i="2"/>
  <c r="P125" i="2"/>
  <c r="P126" i="2"/>
  <c r="P120" i="2"/>
  <c r="P121" i="2"/>
  <c r="P119" i="2"/>
  <c r="P118" i="2"/>
  <c r="P117" i="2"/>
  <c r="P116" i="2"/>
  <c r="P115" i="2"/>
  <c r="P114" i="2"/>
  <c r="P113" i="2"/>
  <c r="P111" i="2"/>
  <c r="P112" i="2"/>
  <c r="P109" i="2"/>
  <c r="P110" i="2"/>
  <c r="P108" i="2"/>
  <c r="P107" i="2"/>
  <c r="P105" i="2"/>
  <c r="P106" i="2"/>
  <c r="P103" i="2"/>
  <c r="P104" i="2"/>
  <c r="P102" i="2"/>
  <c r="P101" i="2"/>
  <c r="P100" i="2"/>
  <c r="P99" i="2"/>
  <c r="P98" i="2"/>
  <c r="P97" i="2"/>
  <c r="P95" i="2"/>
  <c r="P96" i="2"/>
  <c r="P93" i="2"/>
  <c r="P94" i="2"/>
  <c r="P92" i="2"/>
  <c r="P91" i="2"/>
  <c r="P90" i="2"/>
  <c r="P87" i="2"/>
  <c r="P88" i="2"/>
  <c r="P89" i="2"/>
  <c r="P86" i="2"/>
  <c r="P85" i="2"/>
  <c r="P82" i="2"/>
  <c r="P83" i="2"/>
  <c r="P84" i="2"/>
  <c r="P81" i="2"/>
  <c r="P80" i="2"/>
  <c r="P79" i="2"/>
  <c r="P78" i="2"/>
  <c r="P76" i="2"/>
  <c r="P77" i="2"/>
  <c r="P75" i="2"/>
  <c r="P74" i="2"/>
  <c r="P70" i="2"/>
  <c r="P71" i="2"/>
  <c r="P72" i="2"/>
  <c r="P73" i="2"/>
  <c r="P68" i="2"/>
  <c r="P69" i="2"/>
  <c r="P65" i="2"/>
  <c r="P66" i="2"/>
  <c r="P67" i="2"/>
  <c r="P64" i="2"/>
  <c r="P63" i="2"/>
  <c r="P62" i="2"/>
  <c r="P60" i="2"/>
  <c r="P61" i="2"/>
  <c r="P59" i="2"/>
  <c r="P58" i="2"/>
  <c r="P57" i="2"/>
  <c r="P56" i="2"/>
  <c r="P55" i="2"/>
  <c r="P54" i="2"/>
  <c r="P53" i="2"/>
  <c r="P52" i="2"/>
  <c r="P51" i="2"/>
  <c r="P50" i="2"/>
  <c r="P49" i="2"/>
  <c r="P48" i="2"/>
  <c r="P46" i="2"/>
  <c r="P47" i="2"/>
  <c r="P44" i="2"/>
  <c r="P45" i="2"/>
  <c r="P42" i="2"/>
  <c r="P43" i="2"/>
  <c r="P41" i="2"/>
  <c r="P38" i="2"/>
  <c r="P39" i="2"/>
  <c r="P40" i="2"/>
  <c r="P37" i="2"/>
  <c r="P35" i="2"/>
  <c r="P36" i="2"/>
  <c r="P32" i="2"/>
  <c r="P33" i="2"/>
  <c r="P34" i="2"/>
  <c r="P31" i="2"/>
  <c r="P29" i="2"/>
  <c r="P30" i="2"/>
  <c r="P28" i="2"/>
  <c r="P25" i="2"/>
  <c r="P26" i="2"/>
  <c r="P27" i="2"/>
  <c r="P24" i="2"/>
  <c r="P23" i="2"/>
  <c r="P22" i="2"/>
  <c r="P21" i="2"/>
  <c r="P20" i="2"/>
  <c r="P18" i="2"/>
  <c r="P19" i="2"/>
  <c r="P17" i="2"/>
  <c r="P16" i="2"/>
  <c r="P14" i="2"/>
  <c r="P15" i="2"/>
  <c r="P8" i="2"/>
  <c r="P9" i="2"/>
  <c r="P10" i="2"/>
  <c r="P11" i="2"/>
  <c r="P12" i="2"/>
  <c r="P13" i="2"/>
  <c r="P3" i="2"/>
  <c r="P4" i="2"/>
  <c r="P5" i="2"/>
  <c r="P6" i="2"/>
  <c r="P7" i="2"/>
  <c r="P2" i="2"/>
</calcChain>
</file>

<file path=xl/sharedStrings.xml><?xml version="1.0" encoding="utf-8"?>
<sst xmlns="http://schemas.openxmlformats.org/spreadsheetml/2006/main" count="1384" uniqueCount="221">
  <si>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</si>
  <si>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</si>
  <si>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</si>
  <si>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</si>
  <si>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</si>
  <si>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</si>
  <si>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</si>
  <si>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</si>
  <si>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</si>
  <si>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</si>
  <si>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</si>
  <si>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</si>
  <si>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</si>
  <si>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</si>
  <si>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</si>
  <si>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</si>
  <si>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</si>
  <si>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</si>
  <si>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</si>
  <si>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</si>
  <si>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</si>
  <si>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</si>
  <si>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</si>
  <si>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</si>
  <si>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</si>
  <si>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</si>
  <si>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</si>
  <si>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</si>
  <si>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</si>
  <si>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</si>
  <si>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</si>
  <si>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</si>
  <si>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</si>
  <si>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</si>
  <si>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</si>
  <si>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</si>
  <si>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</si>
  <si>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</si>
  <si>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</si>
  <si>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</si>
  <si>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</si>
  <si>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</si>
  <si>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</si>
  <si>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</si>
  <si>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</si>
  <si>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</si>
  <si>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</si>
  <si>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</si>
  <si>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</si>
  <si>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</si>
  <si>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</si>
  <si>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</si>
  <si>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</si>
  <si>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</si>
  <si>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</si>
  <si>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</si>
  <si>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</si>
  <si>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</si>
  <si>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</si>
  <si>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</si>
  <si>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</si>
  <si>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</si>
  <si>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</si>
  <si>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</si>
  <si>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</si>
  <si>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</si>
  <si>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</si>
  <si>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</si>
  <si>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</si>
  <si>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</si>
  <si>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</si>
  <si>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</si>
  <si>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</si>
  <si>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</si>
  <si>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</si>
  <si>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</si>
  <si>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</si>
  <si>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</si>
  <si>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</si>
  <si>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</si>
  <si>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</si>
  <si>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</si>
  <si>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</si>
  <si>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</si>
  <si>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</si>
  <si>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</si>
  <si>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</si>
  <si>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</si>
  <si>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</si>
  <si>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</si>
  <si>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</si>
  <si>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</si>
  <si>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</si>
  <si>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</si>
  <si>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</si>
  <si>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</si>
  <si>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</si>
  <si>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</si>
  <si>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</si>
  <si>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</si>
  <si>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</si>
  <si>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</si>
  <si>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</si>
  <si>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</si>
  <si>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</si>
  <si>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</si>
  <si>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</si>
  <si>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</si>
  <si>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</si>
  <si>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</si>
  <si>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</si>
  <si>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</si>
  <si>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</si>
  <si>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</si>
  <si>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</si>
  <si>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</si>
  <si>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</si>
  <si>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</si>
  <si>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</si>
  <si>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</si>
  <si>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</si>
  <si>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</si>
  <si>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</si>
  <si>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</si>
  <si>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</si>
  <si>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</si>
  <si>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</si>
  <si>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</si>
  <si>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</si>
  <si>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</si>
  <si>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</si>
  <si>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</si>
  <si>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</si>
  <si>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</si>
  <si>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</si>
  <si>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</si>
  <si>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</si>
  <si>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</si>
  <si>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</si>
  <si>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</si>
  <si>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</si>
  <si>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</si>
  <si>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</si>
  <si>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</si>
  <si>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</si>
  <si>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</si>
  <si>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</si>
  <si>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</si>
  <si>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</si>
  <si>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</si>
  <si>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</si>
  <si>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</si>
  <si>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</si>
  <si>
    <t>Médina</t>
  </si>
  <si>
    <t>Malick</t>
  </si>
  <si>
    <t>Ngor</t>
  </si>
  <si>
    <t>Mouhamed ba</t>
  </si>
  <si>
    <t xml:space="preserve">Lundi ba mardi </t>
  </si>
  <si>
    <t>Alpha Diallo</t>
  </si>
  <si>
    <t>Lye</t>
  </si>
  <si>
    <t>Café Altimo pot 200g x 12 pcs</t>
  </si>
  <si>
    <t>Abdourahmane</t>
  </si>
  <si>
    <t>THIERNO KANTE</t>
  </si>
  <si>
    <t>NDEYE MARÉME DIOP</t>
  </si>
  <si>
    <t>Yeumbeul Tally Diallo</t>
  </si>
  <si>
    <t>ABLAYE DIALLO</t>
  </si>
  <si>
    <t>Babacar Mbaye Kébé</t>
  </si>
  <si>
    <t>Modou Diop</t>
  </si>
  <si>
    <t>Raa</t>
  </si>
  <si>
    <t>Matar Ndaiye</t>
  </si>
  <si>
    <t xml:space="preserve">Les livraison sa prend du temps ces pas professionnel si sa continue je vais acheter d'autres plus disponible </t>
  </si>
  <si>
    <t>Amadou Ba</t>
  </si>
  <si>
    <t>Marwan</t>
  </si>
  <si>
    <t>Grand Boutique</t>
  </si>
  <si>
    <t>Saliou</t>
  </si>
  <si>
    <t>18safar</t>
  </si>
  <si>
    <t xml:space="preserve">Je vais t'appeler après </t>
  </si>
  <si>
    <t>Mor Diop</t>
  </si>
  <si>
    <t xml:space="preserve">Je vais essayer avec les chocolat jaune </t>
  </si>
  <si>
    <t>AMINATA NDIAYE</t>
  </si>
  <si>
    <t>Terminus 71</t>
  </si>
  <si>
    <t>Alimentation sohibou</t>
  </si>
  <si>
    <t>Superette</t>
  </si>
  <si>
    <t>Ses clients apprécient le café</t>
  </si>
  <si>
    <t>Khewal Ka</t>
  </si>
  <si>
    <t>MOUSTAPHA BAKHDAD</t>
  </si>
  <si>
    <t>Keur Massar Sotrac</t>
  </si>
  <si>
    <t>Amadou Diallo</t>
  </si>
  <si>
    <t>Oumar sy</t>
  </si>
  <si>
    <t>Mame cheikh</t>
  </si>
  <si>
    <t>Dame DIOP</t>
  </si>
  <si>
    <t>Keur Massar Gouygui</t>
  </si>
  <si>
    <t>Ma samba</t>
  </si>
  <si>
    <t>J'ai pas vue les 25c café 200g</t>
  </si>
  <si>
    <t>Meadow Cup sac 25kg</t>
  </si>
  <si>
    <t>Khdime sylla</t>
  </si>
  <si>
    <t>Café stick Altimo 1,5gx18boites</t>
  </si>
  <si>
    <t>Seydou Baldé</t>
  </si>
  <si>
    <t>Mame  Gor</t>
  </si>
  <si>
    <t>MAGUETTE</t>
  </si>
  <si>
    <t>Fall</t>
  </si>
  <si>
    <t>Yahya Sow Champ de courses</t>
  </si>
  <si>
    <t>Ouakam</t>
  </si>
  <si>
    <t>Ibrahima Sori Diallo</t>
  </si>
  <si>
    <t>Pape Dieng</t>
  </si>
  <si>
    <t>BABACAR Cissé</t>
  </si>
  <si>
    <t>Bala</t>
  </si>
  <si>
    <t>Ismiala</t>
  </si>
  <si>
    <t>Elhadji</t>
  </si>
  <si>
    <t xml:space="preserve">Merci beaucoup pour votre confiance </t>
  </si>
  <si>
    <t>Vieux dia</t>
  </si>
  <si>
    <t>Alassane</t>
  </si>
  <si>
    <t>Abdou Wagué</t>
  </si>
  <si>
    <t>Gueule Tapée</t>
  </si>
  <si>
    <t>Ba et Frères</t>
  </si>
  <si>
    <t>Yoff</t>
  </si>
  <si>
    <t>Lamane Dieng</t>
  </si>
  <si>
    <t>Oumane bah</t>
  </si>
  <si>
    <t>En face gendarmerie</t>
  </si>
  <si>
    <t>Supérette rahmatoulah</t>
  </si>
  <si>
    <t>Il apprécie le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</si>
</sst>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53" totalsRowShown="0" headerRowDxfId="18" headerRowBorderDxfId="17" tableBorderDxfId="16">
  <autoFilter ref="A1:P15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0">
      <calculatedColumnFormula>"S"&amp;_xlfn.ISOWEEKNUM(Semaine_1[[#This Row],[Date]])</calculatedColumnFormula>
    </tableColumn>
    <tableColumn id="18" xr3:uid="{83F3E9A5-7911-47C6-B543-07173CE7D4B5}" name="Mois" dataDxfId="1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53"/>
  <sheetViews>
    <sheetView tabSelected="1" topLeftCell="E117" zoomScale="79" zoomScaleNormal="79" workbookViewId="0">
      <selection activeCell="O141" sqref="O141:O15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8">
        <v>45997</v>
      </c>
      <c r="B55" s="9" t="s">
        <v>14</v>
      </c>
      <c r="C55" s="9" t="s">
        <v>15</v>
      </c>
      <c r="D55" s="9" t="s">
        <v>86</v>
      </c>
      <c r="E55" s="9" t="s">
        <v>122</v>
      </c>
      <c r="F55" s="9">
        <v>778013213</v>
      </c>
      <c r="G55" s="9" t="s">
        <v>49</v>
      </c>
      <c r="H55" s="9" t="s">
        <v>13</v>
      </c>
      <c r="I55" s="9" t="s">
        <v>17</v>
      </c>
      <c r="J55" s="10" t="s">
        <v>17</v>
      </c>
      <c r="K55" s="9" t="s">
        <v>60</v>
      </c>
      <c r="L55" s="9">
        <v>25</v>
      </c>
      <c r="M55" s="11">
        <v>10500</v>
      </c>
      <c r="N55" s="11">
        <v>262500</v>
      </c>
      <c r="O55" s="7" t="str">
        <f>"S"&amp;_xlfn.ISOWEEKNUM(Semaine_1[[#This Row],[Date]])</f>
        <v>S49</v>
      </c>
      <c r="P55" t="str">
        <f>TEXT(Semaine_1[[#This Row],[Date]],"MMMM")</f>
        <v>décembre</v>
      </c>
    </row>
    <row r="56" spans="1:16" x14ac:dyDescent="0.45">
      <c r="A56" s="8">
        <v>45997</v>
      </c>
      <c r="B56" s="9" t="s">
        <v>14</v>
      </c>
      <c r="C56" s="9" t="s">
        <v>15</v>
      </c>
      <c r="D56" s="9" t="s">
        <v>28</v>
      </c>
      <c r="E56" s="9" t="s">
        <v>123</v>
      </c>
      <c r="F56" s="9">
        <v>776712564</v>
      </c>
      <c r="G56" s="9" t="s">
        <v>49</v>
      </c>
      <c r="H56" s="9" t="s">
        <v>13</v>
      </c>
      <c r="I56" s="9" t="s">
        <v>17</v>
      </c>
      <c r="J56" s="10" t="s">
        <v>17</v>
      </c>
      <c r="K56" s="9" t="s">
        <v>72</v>
      </c>
      <c r="L56" s="9">
        <v>25</v>
      </c>
      <c r="M56" s="11">
        <v>26000</v>
      </c>
      <c r="N56" s="11">
        <v>650000</v>
      </c>
      <c r="O56" s="7" t="str">
        <f>"S"&amp;_xlfn.ISOWEEKNUM(Semaine_1[[#This Row],[Date]])</f>
        <v>S49</v>
      </c>
      <c r="P56" t="str">
        <f>TEXT(Semaine_1[[#This Row],[Date]],"MMMM")</f>
        <v>décembre</v>
      </c>
    </row>
    <row r="57" spans="1:16" x14ac:dyDescent="0.45">
      <c r="A57" s="8">
        <v>45996</v>
      </c>
      <c r="B57" s="9" t="s">
        <v>88</v>
      </c>
      <c r="C57" s="9" t="s">
        <v>89</v>
      </c>
      <c r="D57" s="9" t="s">
        <v>124</v>
      </c>
      <c r="E57" s="9" t="s">
        <v>125</v>
      </c>
      <c r="F57" s="9">
        <v>773531341</v>
      </c>
      <c r="G57" s="9" t="s">
        <v>16</v>
      </c>
      <c r="H57" s="9" t="s">
        <v>13</v>
      </c>
      <c r="I57" s="9" t="s">
        <v>17</v>
      </c>
      <c r="J57" s="10" t="s">
        <v>21</v>
      </c>
      <c r="K57" s="9" t="s">
        <v>72</v>
      </c>
      <c r="L57" s="9">
        <v>200</v>
      </c>
      <c r="M57" s="11">
        <v>26000</v>
      </c>
      <c r="N57" s="11">
        <v>5200000</v>
      </c>
      <c r="O57" s="7" t="str">
        <f>"S"&amp;_xlfn.ISOWEEKNUM(Semaine_1[[#This Row],[Date]])</f>
        <v>S49</v>
      </c>
      <c r="P57" t="str">
        <f>TEXT(Semaine_1[[#This Row],[Date]],"MMMM")</f>
        <v>décembre</v>
      </c>
    </row>
    <row r="58" spans="1:16" ht="28.15" x14ac:dyDescent="0.45">
      <c r="A58" s="8">
        <v>45996</v>
      </c>
      <c r="B58" s="9" t="s">
        <v>24</v>
      </c>
      <c r="C58" s="9" t="s">
        <v>25</v>
      </c>
      <c r="D58" s="9" t="s">
        <v>26</v>
      </c>
      <c r="E58" s="9" t="s">
        <v>126</v>
      </c>
      <c r="F58" s="9">
        <v>775273147</v>
      </c>
      <c r="G58" s="9" t="s">
        <v>16</v>
      </c>
      <c r="H58" s="9" t="s">
        <v>13</v>
      </c>
      <c r="I58" s="9" t="s">
        <v>17</v>
      </c>
      <c r="J58" s="10" t="s">
        <v>127</v>
      </c>
      <c r="K58" s="9" t="s">
        <v>128</v>
      </c>
      <c r="L58" s="9">
        <v>25</v>
      </c>
      <c r="M58" s="11">
        <v>6000</v>
      </c>
      <c r="N58" s="11">
        <v>150000</v>
      </c>
      <c r="O58" s="7" t="str">
        <f>"S"&amp;_xlfn.ISOWEEKNUM(Semaine_1[[#This Row],[Date]])</f>
        <v>S49</v>
      </c>
      <c r="P58" t="str">
        <f>TEXT(Semaine_1[[#This Row],[Date]],"MMMM")</f>
        <v>décembre</v>
      </c>
    </row>
    <row r="59" spans="1:16" x14ac:dyDescent="0.45">
      <c r="A59" s="8">
        <v>45995</v>
      </c>
      <c r="B59" s="9" t="s">
        <v>51</v>
      </c>
      <c r="C59" s="9" t="s">
        <v>52</v>
      </c>
      <c r="D59" s="9" t="s">
        <v>129</v>
      </c>
      <c r="E59" s="9" t="s">
        <v>130</v>
      </c>
      <c r="F59" s="9">
        <v>777096402</v>
      </c>
      <c r="G59" s="9" t="s">
        <v>16</v>
      </c>
      <c r="H59" s="9" t="s">
        <v>13</v>
      </c>
      <c r="I59" s="9" t="s">
        <v>17</v>
      </c>
      <c r="J59" s="10" t="s">
        <v>58</v>
      </c>
      <c r="K59" s="9" t="s">
        <v>60</v>
      </c>
      <c r="L59" s="9">
        <v>25</v>
      </c>
      <c r="M59" s="11">
        <v>10500</v>
      </c>
      <c r="N59" s="11">
        <v>262500</v>
      </c>
      <c r="O59" s="7" t="str">
        <f>"S"&amp;_xlfn.ISOWEEKNUM(Semaine_1[[#This Row],[Date]])</f>
        <v>S49</v>
      </c>
      <c r="P59" t="str">
        <f>TEXT(Semaine_1[[#This Row],[Date]],"MMMM")</f>
        <v>décembre</v>
      </c>
    </row>
    <row r="60" spans="1:16" x14ac:dyDescent="0.45">
      <c r="A60" s="8">
        <v>45995</v>
      </c>
      <c r="B60" s="9" t="s">
        <v>45</v>
      </c>
      <c r="C60" s="9" t="s">
        <v>46</v>
      </c>
      <c r="D60" s="9" t="s">
        <v>77</v>
      </c>
      <c r="E60" s="9" t="s">
        <v>78</v>
      </c>
      <c r="F60" s="9">
        <v>779117863</v>
      </c>
      <c r="G60" s="9" t="s">
        <v>16</v>
      </c>
      <c r="H60" s="9" t="s">
        <v>13</v>
      </c>
      <c r="I60" s="9" t="s">
        <v>17</v>
      </c>
      <c r="J60" s="10" t="s">
        <v>21</v>
      </c>
      <c r="K60" s="9" t="s">
        <v>60</v>
      </c>
      <c r="L60" s="9">
        <v>1</v>
      </c>
      <c r="M60" s="11">
        <v>10500</v>
      </c>
      <c r="N60" s="11">
        <v>10500</v>
      </c>
      <c r="O60" s="7" t="str">
        <f>"S"&amp;_xlfn.ISOWEEKNUM(Semaine_1[[#This Row],[Date]])</f>
        <v>S49</v>
      </c>
      <c r="P60" t="str">
        <f>TEXT(Semaine_1[[#This Row],[Date]],"MMMM")</f>
        <v>décembre</v>
      </c>
    </row>
    <row r="61" spans="1:16" x14ac:dyDescent="0.45">
      <c r="A61" s="8">
        <v>45995</v>
      </c>
      <c r="B61" s="9" t="s">
        <v>45</v>
      </c>
      <c r="C61" s="9" t="s">
        <v>46</v>
      </c>
      <c r="D61" s="9" t="s">
        <v>77</v>
      </c>
      <c r="E61" s="9" t="s">
        <v>78</v>
      </c>
      <c r="F61" s="9">
        <v>779117863</v>
      </c>
      <c r="G61" s="9" t="s">
        <v>16</v>
      </c>
      <c r="H61" s="9" t="s">
        <v>13</v>
      </c>
      <c r="I61" s="9" t="s">
        <v>17</v>
      </c>
      <c r="J61" s="10" t="s">
        <v>21</v>
      </c>
      <c r="K61" s="9" t="s">
        <v>31</v>
      </c>
      <c r="L61" s="9">
        <v>1</v>
      </c>
      <c r="M61" s="11">
        <v>15500</v>
      </c>
      <c r="N61" s="11">
        <v>15500</v>
      </c>
      <c r="O61" s="7" t="str">
        <f>"S"&amp;_xlfn.ISOWEEKNUM(Semaine_1[[#This Row],[Date]])</f>
        <v>S49</v>
      </c>
      <c r="P61" t="str">
        <f>TEXT(Semaine_1[[#This Row],[Date]],"MMMM")</f>
        <v>décembre</v>
      </c>
    </row>
    <row r="62" spans="1:16" x14ac:dyDescent="0.45">
      <c r="A62" s="8">
        <v>45995</v>
      </c>
      <c r="B62" s="9" t="s">
        <v>45</v>
      </c>
      <c r="C62" s="9" t="s">
        <v>46</v>
      </c>
      <c r="D62" s="9" t="s">
        <v>77</v>
      </c>
      <c r="E62" s="9" t="s">
        <v>78</v>
      </c>
      <c r="F62" s="9">
        <v>779117863</v>
      </c>
      <c r="G62" s="9" t="s">
        <v>16</v>
      </c>
      <c r="H62" s="9" t="s">
        <v>13</v>
      </c>
      <c r="I62" s="9" t="s">
        <v>17</v>
      </c>
      <c r="J62" s="10" t="s">
        <v>21</v>
      </c>
      <c r="K62" s="9" t="s">
        <v>72</v>
      </c>
      <c r="L62" s="9">
        <v>31</v>
      </c>
      <c r="M62" s="11">
        <v>26000</v>
      </c>
      <c r="N62" s="11">
        <v>806000</v>
      </c>
      <c r="O62" s="7" t="str">
        <f>"S"&amp;_xlfn.ISOWEEKNUM(Semaine_1[[#This Row],[Date]])</f>
        <v>S49</v>
      </c>
      <c r="P62" t="str">
        <f>TEXT(Semaine_1[[#This Row],[Date]],"MMMM")</f>
        <v>décembre</v>
      </c>
    </row>
    <row r="63" spans="1:16" x14ac:dyDescent="0.45">
      <c r="A63" s="8">
        <v>45995</v>
      </c>
      <c r="B63" s="9" t="s">
        <v>34</v>
      </c>
      <c r="C63" s="9" t="s">
        <v>35</v>
      </c>
      <c r="D63" s="9" t="s">
        <v>131</v>
      </c>
      <c r="E63" s="9" t="s">
        <v>132</v>
      </c>
      <c r="F63" s="9">
        <v>766657313</v>
      </c>
      <c r="G63" s="9" t="s">
        <v>16</v>
      </c>
      <c r="H63" s="9" t="s">
        <v>13</v>
      </c>
      <c r="I63" s="9" t="s">
        <v>17</v>
      </c>
      <c r="J63" s="10" t="s">
        <v>39</v>
      </c>
      <c r="K63" s="9" t="s">
        <v>72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S49</v>
      </c>
      <c r="P63" t="str">
        <f>TEXT(Semaine_1[[#This Row],[Date]],"MMMM")</f>
        <v>décembre</v>
      </c>
    </row>
    <row r="64" spans="1:16" x14ac:dyDescent="0.45">
      <c r="A64" s="8">
        <v>45994</v>
      </c>
      <c r="B64" s="9" t="s">
        <v>51</v>
      </c>
      <c r="C64" s="9" t="s">
        <v>52</v>
      </c>
      <c r="D64" s="9" t="s">
        <v>133</v>
      </c>
      <c r="E64" s="9" t="s">
        <v>134</v>
      </c>
      <c r="F64" s="9">
        <v>781872421</v>
      </c>
      <c r="G64" s="9" t="s">
        <v>49</v>
      </c>
      <c r="H64" s="9" t="s">
        <v>13</v>
      </c>
      <c r="I64" s="9" t="s">
        <v>17</v>
      </c>
      <c r="J64" s="10" t="s">
        <v>58</v>
      </c>
      <c r="K64" s="9" t="s">
        <v>60</v>
      </c>
      <c r="L64" s="9">
        <v>2</v>
      </c>
      <c r="M64" s="11">
        <v>11500</v>
      </c>
      <c r="N64" s="11">
        <v>23000</v>
      </c>
      <c r="O64" s="7" t="str">
        <f>"S"&amp;_xlfn.ISOWEEKNUM(Semaine_1[[#This Row],[Date]])</f>
        <v>S49</v>
      </c>
      <c r="P64" t="str">
        <f>TEXT(Semaine_1[[#This Row],[Date]],"MMMM")</f>
        <v>décembre</v>
      </c>
    </row>
    <row r="65" spans="1:16" x14ac:dyDescent="0.45">
      <c r="A65" s="8">
        <v>45994</v>
      </c>
      <c r="B65" s="9" t="s">
        <v>51</v>
      </c>
      <c r="C65" s="9" t="s">
        <v>52</v>
      </c>
      <c r="D65" s="9" t="s">
        <v>129</v>
      </c>
      <c r="E65" s="9" t="s">
        <v>135</v>
      </c>
      <c r="F65" s="9">
        <v>772131614</v>
      </c>
      <c r="G65" s="9" t="s">
        <v>16</v>
      </c>
      <c r="H65" s="9" t="s">
        <v>13</v>
      </c>
      <c r="I65" s="9" t="s">
        <v>17</v>
      </c>
      <c r="J65" s="10" t="s">
        <v>58</v>
      </c>
      <c r="K65" s="9" t="s">
        <v>29</v>
      </c>
      <c r="L65" s="9">
        <v>25</v>
      </c>
      <c r="M65" s="11">
        <v>9750</v>
      </c>
      <c r="N65" s="11">
        <v>243750</v>
      </c>
      <c r="O65" s="7" t="str">
        <f>"S"&amp;_xlfn.ISOWEEKNUM(Semaine_1[[#This Row],[Date]])</f>
        <v>S49</v>
      </c>
      <c r="P65" t="str">
        <f>TEXT(Semaine_1[[#This Row],[Date]],"MMMM")</f>
        <v>décembre</v>
      </c>
    </row>
    <row r="66" spans="1:16" x14ac:dyDescent="0.45">
      <c r="A66" s="8">
        <v>45994</v>
      </c>
      <c r="B66" s="9" t="s">
        <v>51</v>
      </c>
      <c r="C66" s="9" t="s">
        <v>52</v>
      </c>
      <c r="D66" s="9" t="s">
        <v>129</v>
      </c>
      <c r="E66" s="9" t="s">
        <v>135</v>
      </c>
      <c r="F66" s="9">
        <v>772131614</v>
      </c>
      <c r="G66" s="9" t="s">
        <v>16</v>
      </c>
      <c r="H66" s="9" t="s">
        <v>13</v>
      </c>
      <c r="I66" s="9" t="s">
        <v>17</v>
      </c>
      <c r="J66" s="10" t="s">
        <v>58</v>
      </c>
      <c r="K66" s="9" t="s">
        <v>72</v>
      </c>
      <c r="L66" s="9">
        <v>25</v>
      </c>
      <c r="M66" s="11">
        <v>26000</v>
      </c>
      <c r="N66" s="11">
        <v>650000</v>
      </c>
      <c r="O66" s="7" t="str">
        <f>"S"&amp;_xlfn.ISOWEEKNUM(Semaine_1[[#This Row],[Date]])</f>
        <v>S49</v>
      </c>
      <c r="P66" t="str">
        <f>TEXT(Semaine_1[[#This Row],[Date]],"MMMM")</f>
        <v>décembre</v>
      </c>
    </row>
    <row r="67" spans="1:16" x14ac:dyDescent="0.45">
      <c r="A67" s="8">
        <v>45994</v>
      </c>
      <c r="B67" s="9" t="s">
        <v>51</v>
      </c>
      <c r="C67" s="9" t="s">
        <v>52</v>
      </c>
      <c r="D67" s="9" t="s">
        <v>133</v>
      </c>
      <c r="E67" s="9" t="s">
        <v>136</v>
      </c>
      <c r="F67" s="9">
        <v>773170826</v>
      </c>
      <c r="G67" s="9" t="s">
        <v>49</v>
      </c>
      <c r="H67" s="9" t="s">
        <v>13</v>
      </c>
      <c r="I67" s="9" t="s">
        <v>17</v>
      </c>
      <c r="J67" s="10" t="s">
        <v>58</v>
      </c>
      <c r="K67" s="9" t="s">
        <v>32</v>
      </c>
      <c r="L67" s="9">
        <v>1</v>
      </c>
      <c r="M67" s="11">
        <v>19500</v>
      </c>
      <c r="N67" s="11">
        <v>19500</v>
      </c>
      <c r="O67" s="7" t="str">
        <f>"S"&amp;_xlfn.ISOWEEKNUM(Semaine_1[[#This Row],[Date]])</f>
        <v>S49</v>
      </c>
      <c r="P67" t="str">
        <f>TEXT(Semaine_1[[#This Row],[Date]],"MMMM")</f>
        <v>décembre</v>
      </c>
    </row>
    <row r="68" spans="1:16" x14ac:dyDescent="0.45">
      <c r="A68" s="8">
        <v>45994</v>
      </c>
      <c r="B68" s="9" t="s">
        <v>51</v>
      </c>
      <c r="C68" s="9" t="s">
        <v>52</v>
      </c>
      <c r="D68" s="9" t="s">
        <v>133</v>
      </c>
      <c r="E68" s="9" t="s">
        <v>137</v>
      </c>
      <c r="F68" s="9">
        <v>338643675</v>
      </c>
      <c r="G68" s="9" t="s">
        <v>16</v>
      </c>
      <c r="H68" s="9" t="s">
        <v>13</v>
      </c>
      <c r="I68" s="9" t="s">
        <v>17</v>
      </c>
      <c r="J68" s="10" t="s">
        <v>138</v>
      </c>
      <c r="K68" s="9" t="s">
        <v>29</v>
      </c>
      <c r="L68" s="9">
        <v>1</v>
      </c>
      <c r="M68" s="11">
        <v>9750</v>
      </c>
      <c r="N68" s="11">
        <v>9750</v>
      </c>
      <c r="O68" s="7" t="str">
        <f>"S"&amp;_xlfn.ISOWEEKNUM(Semaine_1[[#This Row],[Date]])</f>
        <v>S49</v>
      </c>
      <c r="P68" t="str">
        <f>TEXT(Semaine_1[[#This Row],[Date]],"MMMM")</f>
        <v>décembre</v>
      </c>
    </row>
    <row r="69" spans="1:16" x14ac:dyDescent="0.45">
      <c r="A69" s="8">
        <v>45994</v>
      </c>
      <c r="B69" s="9" t="s">
        <v>51</v>
      </c>
      <c r="C69" s="9" t="s">
        <v>52</v>
      </c>
      <c r="D69" s="9" t="s">
        <v>133</v>
      </c>
      <c r="E69" s="9" t="s">
        <v>137</v>
      </c>
      <c r="F69" s="9">
        <v>338643675</v>
      </c>
      <c r="G69" s="9" t="s">
        <v>16</v>
      </c>
      <c r="H69" s="9" t="s">
        <v>13</v>
      </c>
      <c r="I69" s="9" t="s">
        <v>17</v>
      </c>
      <c r="J69" s="10" t="s">
        <v>138</v>
      </c>
      <c r="K69" s="9" t="s">
        <v>32</v>
      </c>
      <c r="L69" s="9">
        <v>1</v>
      </c>
      <c r="M69" s="11">
        <v>19500</v>
      </c>
      <c r="N69" s="11">
        <v>19500</v>
      </c>
      <c r="O69" s="7" t="str">
        <f>"S"&amp;_xlfn.ISOWEEKNUM(Semaine_1[[#This Row],[Date]])</f>
        <v>S49</v>
      </c>
      <c r="P69" t="str">
        <f>TEXT(Semaine_1[[#This Row],[Date]],"MMMM")</f>
        <v>décembre</v>
      </c>
    </row>
    <row r="70" spans="1:16" x14ac:dyDescent="0.45">
      <c r="A70" s="8">
        <v>45994</v>
      </c>
      <c r="B70" s="9" t="s">
        <v>14</v>
      </c>
      <c r="C70" s="9" t="s">
        <v>15</v>
      </c>
      <c r="D70" s="9" t="s">
        <v>139</v>
      </c>
      <c r="E70" s="9" t="s">
        <v>140</v>
      </c>
      <c r="F70" s="9">
        <v>773661109</v>
      </c>
      <c r="G70" s="9" t="s">
        <v>16</v>
      </c>
      <c r="H70" s="9" t="s">
        <v>13</v>
      </c>
      <c r="I70" s="9" t="s">
        <v>17</v>
      </c>
      <c r="J70" s="10" t="s">
        <v>17</v>
      </c>
      <c r="K70" s="9" t="s">
        <v>29</v>
      </c>
      <c r="L70" s="9">
        <v>2</v>
      </c>
      <c r="M70" s="11">
        <v>9750</v>
      </c>
      <c r="N70" s="11">
        <v>19500</v>
      </c>
      <c r="O70" s="7" t="str">
        <f>"S"&amp;_xlfn.ISOWEEKNUM(Semaine_1[[#This Row],[Date]])</f>
        <v>S49</v>
      </c>
      <c r="P70" t="str">
        <f>TEXT(Semaine_1[[#This Row],[Date]],"MMMM")</f>
        <v>décembre</v>
      </c>
    </row>
    <row r="71" spans="1:16" x14ac:dyDescent="0.45">
      <c r="A71" s="8">
        <v>45994</v>
      </c>
      <c r="B71" s="9" t="s">
        <v>14</v>
      </c>
      <c r="C71" s="9" t="s">
        <v>15</v>
      </c>
      <c r="D71" s="9" t="s">
        <v>139</v>
      </c>
      <c r="E71" s="9" t="s">
        <v>140</v>
      </c>
      <c r="F71" s="9">
        <v>773661109</v>
      </c>
      <c r="G71" s="9" t="s">
        <v>16</v>
      </c>
      <c r="H71" s="9" t="s">
        <v>13</v>
      </c>
      <c r="I71" s="9" t="s">
        <v>17</v>
      </c>
      <c r="J71" s="10" t="s">
        <v>17</v>
      </c>
      <c r="K71" s="9" t="s">
        <v>141</v>
      </c>
      <c r="L71" s="9">
        <v>2</v>
      </c>
      <c r="M71" s="11">
        <v>33500</v>
      </c>
      <c r="N71" s="11">
        <v>67000</v>
      </c>
      <c r="O71" s="7" t="str">
        <f>"S"&amp;_xlfn.ISOWEEKNUM(Semaine_1[[#This Row],[Date]])</f>
        <v>S49</v>
      </c>
      <c r="P71" t="str">
        <f>TEXT(Semaine_1[[#This Row],[Date]],"MMMM")</f>
        <v>décembre</v>
      </c>
    </row>
    <row r="72" spans="1:16" x14ac:dyDescent="0.45">
      <c r="A72" s="8">
        <v>45994</v>
      </c>
      <c r="B72" s="9" t="s">
        <v>88</v>
      </c>
      <c r="C72" s="9" t="s">
        <v>89</v>
      </c>
      <c r="D72" s="9" t="s">
        <v>124</v>
      </c>
      <c r="E72" s="9" t="s">
        <v>142</v>
      </c>
      <c r="F72" s="9">
        <v>781282357</v>
      </c>
      <c r="G72" s="9" t="s">
        <v>16</v>
      </c>
      <c r="H72" s="9" t="s">
        <v>13</v>
      </c>
      <c r="I72" s="9" t="s">
        <v>17</v>
      </c>
      <c r="J72" s="10" t="s">
        <v>21</v>
      </c>
      <c r="K72" s="9" t="s">
        <v>72</v>
      </c>
      <c r="L72" s="9">
        <v>100</v>
      </c>
      <c r="M72" s="11">
        <v>26000</v>
      </c>
      <c r="N72" s="11">
        <v>2600000</v>
      </c>
      <c r="O72" s="7" t="str">
        <f>"S"&amp;_xlfn.ISOWEEKNUM(Semaine_1[[#This Row],[Date]])</f>
        <v>S49</v>
      </c>
      <c r="P72" t="str">
        <f>TEXT(Semaine_1[[#This Row],[Date]],"MMMM")</f>
        <v>décembre</v>
      </c>
    </row>
    <row r="73" spans="1:16" x14ac:dyDescent="0.45">
      <c r="A73" s="8">
        <v>45994</v>
      </c>
      <c r="B73" s="9" t="s">
        <v>88</v>
      </c>
      <c r="C73" s="9" t="s">
        <v>89</v>
      </c>
      <c r="D73" s="9" t="s">
        <v>143</v>
      </c>
      <c r="E73" s="9" t="s">
        <v>144</v>
      </c>
      <c r="F73" s="9">
        <v>771952687</v>
      </c>
      <c r="G73" s="9" t="s">
        <v>16</v>
      </c>
      <c r="H73" s="9" t="s">
        <v>13</v>
      </c>
      <c r="I73" s="9" t="s">
        <v>17</v>
      </c>
      <c r="J73" s="10" t="s">
        <v>21</v>
      </c>
      <c r="K73" s="9" t="s">
        <v>68</v>
      </c>
      <c r="L73" s="9">
        <v>50</v>
      </c>
      <c r="M73" s="11">
        <v>30000</v>
      </c>
      <c r="N73" s="11">
        <v>1500000</v>
      </c>
      <c r="O73" s="7" t="str">
        <f>"S"&amp;_xlfn.ISOWEEKNUM(Semaine_1[[#This Row],[Date]])</f>
        <v>S49</v>
      </c>
      <c r="P73" t="str">
        <f>TEXT(Semaine_1[[#This Row],[Date]],"MMMM")</f>
        <v>décembre</v>
      </c>
    </row>
    <row r="74" spans="1:16" x14ac:dyDescent="0.45">
      <c r="A74" s="8">
        <v>45994</v>
      </c>
      <c r="B74" s="9" t="s">
        <v>14</v>
      </c>
      <c r="C74" s="9" t="s">
        <v>15</v>
      </c>
      <c r="D74" s="9" t="s">
        <v>139</v>
      </c>
      <c r="E74" s="9" t="s">
        <v>145</v>
      </c>
      <c r="F74" s="9">
        <v>773199049</v>
      </c>
      <c r="G74" s="9" t="s">
        <v>16</v>
      </c>
      <c r="H74" s="9" t="s">
        <v>13</v>
      </c>
      <c r="I74" s="9" t="s">
        <v>17</v>
      </c>
      <c r="J74" s="10" t="s">
        <v>17</v>
      </c>
      <c r="K74" s="9" t="s">
        <v>128</v>
      </c>
      <c r="L74" s="9">
        <v>25</v>
      </c>
      <c r="M74" s="11">
        <v>6000</v>
      </c>
      <c r="N74" s="11">
        <v>150000</v>
      </c>
      <c r="O74" s="7" t="str">
        <f>"S"&amp;_xlfn.ISOWEEKNUM(Semaine_1[[#This Row],[Date]])</f>
        <v>S49</v>
      </c>
      <c r="P74" t="str">
        <f>TEXT(Semaine_1[[#This Row],[Date]],"MMMM")</f>
        <v>décembre</v>
      </c>
    </row>
    <row r="75" spans="1:16" ht="28.15" x14ac:dyDescent="0.45">
      <c r="A75" s="8">
        <v>45993</v>
      </c>
      <c r="B75" s="9" t="s">
        <v>34</v>
      </c>
      <c r="C75" s="9" t="s">
        <v>35</v>
      </c>
      <c r="D75" s="9" t="s">
        <v>69</v>
      </c>
      <c r="E75" s="9" t="s">
        <v>146</v>
      </c>
      <c r="F75" s="9">
        <v>775740574</v>
      </c>
      <c r="G75" s="9" t="s">
        <v>16</v>
      </c>
      <c r="H75" s="9" t="s">
        <v>13</v>
      </c>
      <c r="I75" s="9" t="s">
        <v>17</v>
      </c>
      <c r="J75" s="10" t="s">
        <v>147</v>
      </c>
      <c r="K75" s="9" t="s">
        <v>68</v>
      </c>
      <c r="L75" s="9">
        <v>50</v>
      </c>
      <c r="M75" s="11">
        <v>30000</v>
      </c>
      <c r="N75" s="11">
        <v>1500000</v>
      </c>
      <c r="O75" s="7" t="str">
        <f>"S"&amp;_xlfn.ISOWEEKNUM(Semaine_1[[#This Row],[Date]])</f>
        <v>S49</v>
      </c>
      <c r="P75" t="str">
        <f>TEXT(Semaine_1[[#This Row],[Date]],"MMMM")</f>
        <v>décembre</v>
      </c>
    </row>
    <row r="76" spans="1:16" x14ac:dyDescent="0.45">
      <c r="A76" s="8">
        <v>45993</v>
      </c>
      <c r="B76" s="9" t="s">
        <v>14</v>
      </c>
      <c r="C76" s="9" t="s">
        <v>15</v>
      </c>
      <c r="D76" s="9" t="s">
        <v>28</v>
      </c>
      <c r="E76" s="9" t="s">
        <v>148</v>
      </c>
      <c r="F76" s="9">
        <v>777638400</v>
      </c>
      <c r="G76" s="9" t="s">
        <v>49</v>
      </c>
      <c r="H76" s="9" t="s">
        <v>13</v>
      </c>
      <c r="I76" s="9" t="s">
        <v>17</v>
      </c>
      <c r="J76" s="10" t="s">
        <v>149</v>
      </c>
      <c r="K76" s="9" t="s">
        <v>41</v>
      </c>
      <c r="L76" s="9">
        <v>3</v>
      </c>
      <c r="M76" s="11">
        <v>15500</v>
      </c>
      <c r="N76" s="11">
        <v>46500</v>
      </c>
      <c r="O76" s="7" t="str">
        <f>"S"&amp;_xlfn.ISOWEEKNUM(Semaine_1[[#This Row],[Date]])</f>
        <v>S49</v>
      </c>
      <c r="P76" t="str">
        <f>TEXT(Semaine_1[[#This Row],[Date]],"MMMM")</f>
        <v>décembre</v>
      </c>
    </row>
    <row r="77" spans="1:16" x14ac:dyDescent="0.45">
      <c r="A77" s="8">
        <v>45993</v>
      </c>
      <c r="B77" s="9" t="s">
        <v>14</v>
      </c>
      <c r="C77" s="9" t="s">
        <v>15</v>
      </c>
      <c r="D77" s="9" t="s">
        <v>28</v>
      </c>
      <c r="E77" s="9" t="s">
        <v>148</v>
      </c>
      <c r="F77" s="9">
        <v>777638400</v>
      </c>
      <c r="G77" s="9" t="s">
        <v>49</v>
      </c>
      <c r="H77" s="9" t="s">
        <v>13</v>
      </c>
      <c r="I77" s="9" t="s">
        <v>17</v>
      </c>
      <c r="J77" s="10" t="s">
        <v>149</v>
      </c>
      <c r="K77" s="9" t="s">
        <v>31</v>
      </c>
      <c r="L77" s="9">
        <v>5</v>
      </c>
      <c r="M77" s="11">
        <v>15500</v>
      </c>
      <c r="N77" s="11">
        <v>77500</v>
      </c>
      <c r="O77" s="7" t="str">
        <f>"S"&amp;_xlfn.ISOWEEKNUM(Semaine_1[[#This Row],[Date]])</f>
        <v>S49</v>
      </c>
      <c r="P77" t="str">
        <f>TEXT(Semaine_1[[#This Row],[Date]],"MMMM")</f>
        <v>décembre</v>
      </c>
    </row>
    <row r="78" spans="1:16" x14ac:dyDescent="0.45">
      <c r="A78" s="8">
        <v>45993</v>
      </c>
      <c r="B78" s="9" t="s">
        <v>88</v>
      </c>
      <c r="C78" s="9" t="s">
        <v>89</v>
      </c>
      <c r="D78" s="9" t="s">
        <v>113</v>
      </c>
      <c r="E78" s="9" t="s">
        <v>150</v>
      </c>
      <c r="F78" s="9">
        <v>774245132</v>
      </c>
      <c r="G78" s="9" t="s">
        <v>16</v>
      </c>
      <c r="H78" s="9" t="s">
        <v>13</v>
      </c>
      <c r="I78" s="9" t="s">
        <v>17</v>
      </c>
      <c r="J78" s="10" t="s">
        <v>21</v>
      </c>
      <c r="K78" s="9" t="s">
        <v>72</v>
      </c>
      <c r="L78" s="9">
        <v>25</v>
      </c>
      <c r="M78" s="11">
        <v>26000</v>
      </c>
      <c r="N78" s="11">
        <v>650000</v>
      </c>
      <c r="O78" s="7" t="str">
        <f>"S"&amp;_xlfn.ISOWEEKNUM(Semaine_1[[#This Row],[Date]])</f>
        <v>S49</v>
      </c>
      <c r="P78" t="str">
        <f>TEXT(Semaine_1[[#This Row],[Date]],"MMMM")</f>
        <v>décembre</v>
      </c>
    </row>
    <row r="79" spans="1:16" x14ac:dyDescent="0.45">
      <c r="A79" s="8">
        <v>45993</v>
      </c>
      <c r="B79" s="9" t="s">
        <v>51</v>
      </c>
      <c r="C79" s="9" t="s">
        <v>52</v>
      </c>
      <c r="D79" s="9" t="s">
        <v>61</v>
      </c>
      <c r="E79" s="9" t="s">
        <v>151</v>
      </c>
      <c r="F79" s="9">
        <v>775538380</v>
      </c>
      <c r="G79" s="9" t="s">
        <v>16</v>
      </c>
      <c r="H79" s="9" t="s">
        <v>13</v>
      </c>
      <c r="I79" s="9" t="s">
        <v>17</v>
      </c>
      <c r="J79" s="10" t="s">
        <v>138</v>
      </c>
      <c r="K79" s="9" t="s">
        <v>29</v>
      </c>
      <c r="L79" s="9">
        <v>2</v>
      </c>
      <c r="M79" s="11">
        <v>9750</v>
      </c>
      <c r="N79" s="11">
        <v>19500</v>
      </c>
      <c r="O79" s="7" t="str">
        <f>"S"&amp;_xlfn.ISOWEEKNUM(Semaine_1[[#This Row],[Date]])</f>
        <v>S49</v>
      </c>
      <c r="P79" t="str">
        <f>TEXT(Semaine_1[[#This Row],[Date]],"MMMM")</f>
        <v>décembre</v>
      </c>
    </row>
    <row r="80" spans="1:16" x14ac:dyDescent="0.45">
      <c r="A80" s="8">
        <v>45993</v>
      </c>
      <c r="B80" s="9" t="s">
        <v>51</v>
      </c>
      <c r="C80" s="9" t="s">
        <v>52</v>
      </c>
      <c r="D80" s="9" t="s">
        <v>61</v>
      </c>
      <c r="E80" s="9" t="s">
        <v>152</v>
      </c>
      <c r="F80" s="9">
        <v>776367168</v>
      </c>
      <c r="G80" s="9" t="s">
        <v>16</v>
      </c>
      <c r="H80" s="9" t="s">
        <v>13</v>
      </c>
      <c r="I80" s="9" t="s">
        <v>17</v>
      </c>
      <c r="J80" s="10" t="s">
        <v>58</v>
      </c>
      <c r="K80" s="9" t="s">
        <v>72</v>
      </c>
      <c r="L80" s="9">
        <v>32</v>
      </c>
      <c r="M80" s="11">
        <v>26000</v>
      </c>
      <c r="N80" s="11">
        <v>832000</v>
      </c>
      <c r="O80" s="7" t="str">
        <f>"S"&amp;_xlfn.ISOWEEKNUM(Semaine_1[[#This Row],[Date]])</f>
        <v>S49</v>
      </c>
      <c r="P80" t="str">
        <f>TEXT(Semaine_1[[#This Row],[Date]],"MMMM")</f>
        <v>décembre</v>
      </c>
    </row>
    <row r="81" spans="1:16" x14ac:dyDescent="0.45">
      <c r="A81" s="8">
        <v>46000</v>
      </c>
      <c r="B81" s="9" t="s">
        <v>14</v>
      </c>
      <c r="C81" s="9" t="s">
        <v>15</v>
      </c>
      <c r="D81" s="9" t="s">
        <v>153</v>
      </c>
      <c r="E81" s="9" t="s">
        <v>154</v>
      </c>
      <c r="F81" s="9">
        <v>771923397</v>
      </c>
      <c r="G81" s="9" t="s">
        <v>49</v>
      </c>
      <c r="H81" s="9" t="s">
        <v>13</v>
      </c>
      <c r="I81" s="9" t="s">
        <v>17</v>
      </c>
      <c r="J81" s="10" t="s">
        <v>17</v>
      </c>
      <c r="K81" s="9" t="s">
        <v>29</v>
      </c>
      <c r="L81" s="9">
        <v>2</v>
      </c>
      <c r="M81" s="11">
        <v>9750</v>
      </c>
      <c r="N81" s="11">
        <v>19500</v>
      </c>
      <c r="O81" s="7" t="str">
        <f>"S"&amp;_xlfn.ISOWEEKNUM(Semaine_1[[#This Row],[Date]])</f>
        <v>S50</v>
      </c>
      <c r="P81" t="str">
        <f>TEXT(Semaine_1[[#This Row],[Date]],"MMMM")</f>
        <v>décembre</v>
      </c>
    </row>
    <row r="82" spans="1:16" x14ac:dyDescent="0.45">
      <c r="A82" s="8">
        <v>46000</v>
      </c>
      <c r="B82" s="9" t="s">
        <v>51</v>
      </c>
      <c r="C82" s="9" t="s">
        <v>52</v>
      </c>
      <c r="D82" s="9" t="s">
        <v>155</v>
      </c>
      <c r="E82" s="9" t="s">
        <v>156</v>
      </c>
      <c r="F82" s="9">
        <v>776058374</v>
      </c>
      <c r="G82" s="9" t="s">
        <v>16</v>
      </c>
      <c r="H82" s="9" t="s">
        <v>36</v>
      </c>
      <c r="I82" s="9" t="s">
        <v>17</v>
      </c>
      <c r="J82" s="10" t="s">
        <v>157</v>
      </c>
      <c r="K82" s="9" t="s">
        <v>60</v>
      </c>
      <c r="L82" s="9">
        <v>25</v>
      </c>
      <c r="M82" s="11">
        <v>10500</v>
      </c>
      <c r="N82" s="11">
        <v>262500</v>
      </c>
      <c r="O82" s="7" t="str">
        <f>"S"&amp;_xlfn.ISOWEEKNUM(Semaine_1[[#This Row],[Date]])</f>
        <v>S50</v>
      </c>
      <c r="P82" t="str">
        <f>TEXT(Semaine_1[[#This Row],[Date]],"MMMM")</f>
        <v>décembre</v>
      </c>
    </row>
    <row r="83" spans="1:16" x14ac:dyDescent="0.45">
      <c r="A83" s="8">
        <v>46000</v>
      </c>
      <c r="B83" s="9" t="s">
        <v>51</v>
      </c>
      <c r="C83" s="9" t="s">
        <v>52</v>
      </c>
      <c r="D83" s="9" t="s">
        <v>155</v>
      </c>
      <c r="E83" s="9" t="s">
        <v>158</v>
      </c>
      <c r="F83" s="9">
        <v>773904335</v>
      </c>
      <c r="G83" s="9" t="s">
        <v>49</v>
      </c>
      <c r="H83" s="9" t="s">
        <v>36</v>
      </c>
      <c r="I83" s="9" t="s">
        <v>17</v>
      </c>
      <c r="J83" s="10" t="s">
        <v>58</v>
      </c>
      <c r="K83" s="9" t="s">
        <v>29</v>
      </c>
      <c r="L83" s="9">
        <v>1</v>
      </c>
      <c r="M83" s="11">
        <v>9750</v>
      </c>
      <c r="N83" s="11">
        <v>9750</v>
      </c>
      <c r="O83" s="7" t="str">
        <f>"S"&amp;_xlfn.ISOWEEKNUM(Semaine_1[[#This Row],[Date]])</f>
        <v>S50</v>
      </c>
      <c r="P83" t="str">
        <f>TEXT(Semaine_1[[#This Row],[Date]],"MMMM")</f>
        <v>décembre</v>
      </c>
    </row>
    <row r="84" spans="1:16" x14ac:dyDescent="0.45">
      <c r="A84" s="8">
        <v>46000</v>
      </c>
      <c r="B84" s="9" t="s">
        <v>51</v>
      </c>
      <c r="C84" s="9" t="s">
        <v>52</v>
      </c>
      <c r="D84" s="9" t="s">
        <v>98</v>
      </c>
      <c r="E84" s="9" t="s">
        <v>159</v>
      </c>
      <c r="F84" s="9">
        <v>775426848</v>
      </c>
      <c r="G84" s="9" t="s">
        <v>49</v>
      </c>
      <c r="H84" s="9" t="s">
        <v>13</v>
      </c>
      <c r="I84" s="9" t="s">
        <v>17</v>
      </c>
      <c r="J84" s="10" t="s">
        <v>58</v>
      </c>
      <c r="K84" s="9" t="s">
        <v>29</v>
      </c>
      <c r="L84" s="9">
        <v>4</v>
      </c>
      <c r="M84" s="11">
        <v>9750</v>
      </c>
      <c r="N84" s="11">
        <v>39000</v>
      </c>
      <c r="O84" s="7" t="str">
        <f>"S"&amp;_xlfn.ISOWEEKNUM(Semaine_1[[#This Row],[Date]])</f>
        <v>S50</v>
      </c>
      <c r="P84" t="str">
        <f>TEXT(Semaine_1[[#This Row],[Date]],"MMMM")</f>
        <v>décembre</v>
      </c>
    </row>
    <row r="85" spans="1:16" x14ac:dyDescent="0.45">
      <c r="A85" s="8">
        <v>46000</v>
      </c>
      <c r="B85" s="9" t="s">
        <v>14</v>
      </c>
      <c r="C85" s="9" t="s">
        <v>15</v>
      </c>
      <c r="D85" s="9" t="s">
        <v>153</v>
      </c>
      <c r="E85" s="9" t="s">
        <v>154</v>
      </c>
      <c r="F85" s="9">
        <v>771923397</v>
      </c>
      <c r="G85" s="9" t="s">
        <v>49</v>
      </c>
      <c r="H85" s="9" t="s">
        <v>13</v>
      </c>
      <c r="I85" s="9" t="s">
        <v>17</v>
      </c>
      <c r="J85" s="10" t="s">
        <v>17</v>
      </c>
      <c r="K85" s="9" t="s">
        <v>160</v>
      </c>
      <c r="L85" s="9">
        <v>3</v>
      </c>
      <c r="M85" s="11">
        <v>33500</v>
      </c>
      <c r="N85" s="11">
        <v>100500</v>
      </c>
      <c r="O85" s="7" t="str">
        <f>"S"&amp;_xlfn.ISOWEEKNUM(Semaine_1[[#This Row],[Date]])</f>
        <v>S50</v>
      </c>
      <c r="P85" t="str">
        <f>TEXT(Semaine_1[[#This Row],[Date]],"MMMM")</f>
        <v>décembre</v>
      </c>
    </row>
    <row r="86" spans="1:16" x14ac:dyDescent="0.45">
      <c r="A86" s="8">
        <v>45999</v>
      </c>
      <c r="B86" s="9" t="s">
        <v>34</v>
      </c>
      <c r="C86" s="9" t="s">
        <v>35</v>
      </c>
      <c r="D86" s="9" t="s">
        <v>131</v>
      </c>
      <c r="E86" s="9" t="s">
        <v>161</v>
      </c>
      <c r="F86" s="9">
        <v>781142243</v>
      </c>
      <c r="G86" s="9" t="s">
        <v>49</v>
      </c>
      <c r="H86" s="9" t="s">
        <v>13</v>
      </c>
      <c r="I86" s="9" t="s">
        <v>17</v>
      </c>
      <c r="J86" s="10" t="s">
        <v>39</v>
      </c>
      <c r="K86" s="9" t="s">
        <v>72</v>
      </c>
      <c r="L86" s="9">
        <v>50</v>
      </c>
      <c r="M86" s="11">
        <v>26000</v>
      </c>
      <c r="N86" s="11">
        <v>1300000</v>
      </c>
      <c r="O86" s="7" t="str">
        <f>"S"&amp;_xlfn.ISOWEEKNUM(Semaine_1[[#This Row],[Date]])</f>
        <v>S50</v>
      </c>
      <c r="P86" t="str">
        <f>TEXT(Semaine_1[[#This Row],[Date]],"MMMM")</f>
        <v>décembre</v>
      </c>
    </row>
    <row r="87" spans="1:16" x14ac:dyDescent="0.45">
      <c r="A87" s="8">
        <v>45999</v>
      </c>
      <c r="B87" s="9" t="s">
        <v>88</v>
      </c>
      <c r="C87" s="9" t="s">
        <v>89</v>
      </c>
      <c r="D87" s="9" t="s">
        <v>143</v>
      </c>
      <c r="E87" s="9" t="s">
        <v>162</v>
      </c>
      <c r="F87" s="9">
        <v>775171537</v>
      </c>
      <c r="G87" s="9" t="s">
        <v>16</v>
      </c>
      <c r="H87" s="9" t="s">
        <v>13</v>
      </c>
      <c r="I87" s="9" t="s">
        <v>17</v>
      </c>
      <c r="J87" s="10" t="s">
        <v>21</v>
      </c>
      <c r="K87" s="9" t="s">
        <v>72</v>
      </c>
      <c r="L87" s="9">
        <v>25</v>
      </c>
      <c r="M87" s="11">
        <v>26000</v>
      </c>
      <c r="N87" s="11">
        <v>650000</v>
      </c>
      <c r="O87" s="7" t="str">
        <f>"S"&amp;_xlfn.ISOWEEKNUM(Semaine_1[[#This Row],[Date]])</f>
        <v>S50</v>
      </c>
      <c r="P87" t="str">
        <f>TEXT(Semaine_1[[#This Row],[Date]],"MMMM")</f>
        <v>décembre</v>
      </c>
    </row>
    <row r="88" spans="1:16" x14ac:dyDescent="0.45">
      <c r="A88" s="8">
        <v>45999</v>
      </c>
      <c r="B88" s="9" t="s">
        <v>88</v>
      </c>
      <c r="C88" s="9" t="s">
        <v>89</v>
      </c>
      <c r="D88" s="9" t="s">
        <v>115</v>
      </c>
      <c r="E88" s="9" t="s">
        <v>163</v>
      </c>
      <c r="F88" s="9">
        <v>775541532</v>
      </c>
      <c r="G88" s="9" t="s">
        <v>16</v>
      </c>
      <c r="H88" s="9" t="s">
        <v>13</v>
      </c>
      <c r="I88" s="9" t="s">
        <v>17</v>
      </c>
      <c r="J88" s="10" t="s">
        <v>21</v>
      </c>
      <c r="K88" s="9" t="s">
        <v>72</v>
      </c>
      <c r="L88" s="9">
        <v>25</v>
      </c>
      <c r="M88" s="11">
        <v>26000</v>
      </c>
      <c r="N88" s="11">
        <v>650000</v>
      </c>
      <c r="O88" s="7" t="str">
        <f>"S"&amp;_xlfn.ISOWEEKNUM(Semaine_1[[#This Row],[Date]])</f>
        <v>S50</v>
      </c>
      <c r="P88" t="str">
        <f>TEXT(Semaine_1[[#This Row],[Date]],"MMMM")</f>
        <v>décembre</v>
      </c>
    </row>
    <row r="89" spans="1:16" x14ac:dyDescent="0.45">
      <c r="A89" s="8">
        <v>45999</v>
      </c>
      <c r="B89" s="9" t="s">
        <v>88</v>
      </c>
      <c r="C89" s="9" t="s">
        <v>89</v>
      </c>
      <c r="D89" s="9" t="s">
        <v>164</v>
      </c>
      <c r="E89" s="9" t="s">
        <v>165</v>
      </c>
      <c r="F89" s="9">
        <v>778056161</v>
      </c>
      <c r="G89" s="9" t="s">
        <v>16</v>
      </c>
      <c r="H89" s="9" t="s">
        <v>13</v>
      </c>
      <c r="I89" s="9" t="s">
        <v>17</v>
      </c>
      <c r="J89" s="10" t="s">
        <v>21</v>
      </c>
      <c r="K89" s="9" t="s">
        <v>72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S50</v>
      </c>
      <c r="P89" t="str">
        <f>TEXT(Semaine_1[[#This Row],[Date]],"MMMM")</f>
        <v>décembre</v>
      </c>
    </row>
    <row r="90" spans="1:16" x14ac:dyDescent="0.45">
      <c r="A90" s="8">
        <v>46001</v>
      </c>
      <c r="B90" s="9" t="s">
        <v>14</v>
      </c>
      <c r="C90" s="9" t="s">
        <v>15</v>
      </c>
      <c r="D90" s="9" t="s">
        <v>28</v>
      </c>
      <c r="E90" s="9" t="s">
        <v>166</v>
      </c>
      <c r="F90" s="9">
        <v>776169696</v>
      </c>
      <c r="G90" s="9" t="s">
        <v>16</v>
      </c>
      <c r="H90" s="9" t="s">
        <v>13</v>
      </c>
      <c r="I90" s="9" t="s">
        <v>17</v>
      </c>
      <c r="J90" s="10" t="s">
        <v>17</v>
      </c>
      <c r="K90" s="9" t="s">
        <v>68</v>
      </c>
      <c r="L90" s="9">
        <v>25</v>
      </c>
      <c r="M90" s="11">
        <v>30000</v>
      </c>
      <c r="N90" s="11">
        <v>750000</v>
      </c>
      <c r="O90" s="7" t="str">
        <f>"S"&amp;_xlfn.ISOWEEKNUM(Semaine_1[[#This Row],[Date]])</f>
        <v>S50</v>
      </c>
      <c r="P90" t="str">
        <f>TEXT(Semaine_1[[#This Row],[Date]],"MMMM")</f>
        <v>décembre</v>
      </c>
    </row>
    <row r="91" spans="1:16" x14ac:dyDescent="0.45">
      <c r="A91" s="8">
        <v>46001</v>
      </c>
      <c r="B91" s="9" t="s">
        <v>34</v>
      </c>
      <c r="C91" s="9" t="s">
        <v>35</v>
      </c>
      <c r="D91" s="9" t="s">
        <v>38</v>
      </c>
      <c r="E91" s="9" t="s">
        <v>167</v>
      </c>
      <c r="F91" s="9">
        <v>761490227</v>
      </c>
      <c r="G91" s="9" t="s">
        <v>16</v>
      </c>
      <c r="H91" s="9" t="s">
        <v>13</v>
      </c>
      <c r="I91" s="9" t="s">
        <v>17</v>
      </c>
      <c r="J91" s="10" t="s">
        <v>168</v>
      </c>
      <c r="K91" s="9" t="s">
        <v>29</v>
      </c>
      <c r="L91" s="9">
        <v>26</v>
      </c>
      <c r="M91" s="11">
        <v>9750</v>
      </c>
      <c r="N91" s="11">
        <v>253500</v>
      </c>
      <c r="O91" s="7" t="str">
        <f>"S"&amp;_xlfn.ISOWEEKNUM(Semaine_1[[#This Row],[Date]])</f>
        <v>S50</v>
      </c>
      <c r="P91" t="str">
        <f>TEXT(Semaine_1[[#This Row],[Date]],"MMMM")</f>
        <v>décembre</v>
      </c>
    </row>
    <row r="92" spans="1:16" ht="42" x14ac:dyDescent="0.45">
      <c r="A92" s="8">
        <v>46001</v>
      </c>
      <c r="B92" s="9" t="s">
        <v>51</v>
      </c>
      <c r="C92" s="9" t="s">
        <v>52</v>
      </c>
      <c r="D92" s="9" t="s">
        <v>129</v>
      </c>
      <c r="E92" s="9" t="s">
        <v>169</v>
      </c>
      <c r="F92" s="9">
        <v>771165277</v>
      </c>
      <c r="G92" s="9" t="s">
        <v>16</v>
      </c>
      <c r="H92" s="9" t="s">
        <v>13</v>
      </c>
      <c r="I92" s="9" t="s">
        <v>17</v>
      </c>
      <c r="J92" s="10" t="s">
        <v>170</v>
      </c>
      <c r="K92" s="9" t="s">
        <v>68</v>
      </c>
      <c r="L92" s="9">
        <v>1</v>
      </c>
      <c r="M92" s="11">
        <v>30000</v>
      </c>
      <c r="N92" s="11">
        <v>30000</v>
      </c>
      <c r="O92" s="7" t="str">
        <f>"S"&amp;_xlfn.ISOWEEKNUM(Semaine_1[[#This Row],[Date]])</f>
        <v>S50</v>
      </c>
      <c r="P92" t="str">
        <f>TEXT(Semaine_1[[#This Row],[Date]],"MMMM")</f>
        <v>décembre</v>
      </c>
    </row>
    <row r="93" spans="1:16" x14ac:dyDescent="0.45">
      <c r="A93" s="8">
        <v>46001</v>
      </c>
      <c r="B93" s="9" t="s">
        <v>24</v>
      </c>
      <c r="C93" s="9" t="s">
        <v>25</v>
      </c>
      <c r="D93" s="9" t="s">
        <v>26</v>
      </c>
      <c r="E93" s="9" t="s">
        <v>171</v>
      </c>
      <c r="F93" s="9">
        <v>770343860</v>
      </c>
      <c r="G93" s="9" t="s">
        <v>49</v>
      </c>
      <c r="H93" s="9" t="s">
        <v>13</v>
      </c>
      <c r="I93" s="9" t="s">
        <v>17</v>
      </c>
      <c r="J93" s="10" t="s">
        <v>27</v>
      </c>
      <c r="K93" s="9" t="s">
        <v>160</v>
      </c>
      <c r="L93" s="9">
        <v>5</v>
      </c>
      <c r="M93" s="11">
        <v>33500</v>
      </c>
      <c r="N93" s="11">
        <v>167500</v>
      </c>
      <c r="O93" s="7" t="str">
        <f>"S"&amp;_xlfn.ISOWEEKNUM(Semaine_1[[#This Row],[Date]])</f>
        <v>S50</v>
      </c>
      <c r="P93" t="str">
        <f>TEXT(Semaine_1[[#This Row],[Date]],"MMMM")</f>
        <v>décembre</v>
      </c>
    </row>
    <row r="94" spans="1:16" x14ac:dyDescent="0.45">
      <c r="A94" s="8">
        <v>46001</v>
      </c>
      <c r="B94" s="9" t="s">
        <v>24</v>
      </c>
      <c r="C94" s="9" t="s">
        <v>25</v>
      </c>
      <c r="D94" s="9" t="s">
        <v>26</v>
      </c>
      <c r="E94" s="9" t="s">
        <v>171</v>
      </c>
      <c r="F94" s="9">
        <v>770343860</v>
      </c>
      <c r="G94" s="9" t="s">
        <v>49</v>
      </c>
      <c r="H94" s="9" t="s">
        <v>13</v>
      </c>
      <c r="I94" s="9" t="s">
        <v>17</v>
      </c>
      <c r="J94" s="10" t="s">
        <v>27</v>
      </c>
      <c r="K94" s="9" t="s">
        <v>50</v>
      </c>
      <c r="L94" s="9">
        <v>5</v>
      </c>
      <c r="M94" s="11">
        <v>10000</v>
      </c>
      <c r="N94" s="11">
        <v>50000</v>
      </c>
      <c r="O94" s="7" t="str">
        <f>"S"&amp;_xlfn.ISOWEEKNUM(Semaine_1[[#This Row],[Date]])</f>
        <v>S50</v>
      </c>
      <c r="P94" t="str">
        <f>TEXT(Semaine_1[[#This Row],[Date]],"MMMM")</f>
        <v>décembre</v>
      </c>
    </row>
    <row r="95" spans="1:16" x14ac:dyDescent="0.45">
      <c r="A95" s="8">
        <v>46001</v>
      </c>
      <c r="B95" s="9" t="s">
        <v>14</v>
      </c>
      <c r="C95" s="9" t="s">
        <v>15</v>
      </c>
      <c r="D95" s="9" t="s">
        <v>28</v>
      </c>
      <c r="E95" s="9" t="s">
        <v>172</v>
      </c>
      <c r="F95" s="9">
        <v>772540776</v>
      </c>
      <c r="G95" s="9" t="s">
        <v>173</v>
      </c>
      <c r="H95" s="9" t="s">
        <v>13</v>
      </c>
      <c r="I95" s="9" t="s">
        <v>17</v>
      </c>
      <c r="J95" s="10" t="s">
        <v>17</v>
      </c>
      <c r="K95" s="9" t="s">
        <v>60</v>
      </c>
      <c r="L95" s="9">
        <v>25</v>
      </c>
      <c r="M95" s="11">
        <v>10500</v>
      </c>
      <c r="N95" s="11">
        <v>262500</v>
      </c>
      <c r="O95" s="7" t="str">
        <f>"S"&amp;_xlfn.ISOWEEKNUM(Semaine_1[[#This Row],[Date]])</f>
        <v>S50</v>
      </c>
      <c r="P95" t="str">
        <f>TEXT(Semaine_1[[#This Row],[Date]],"MMMM")</f>
        <v>décembre</v>
      </c>
    </row>
    <row r="96" spans="1:16" x14ac:dyDescent="0.45">
      <c r="A96" s="8">
        <v>46001</v>
      </c>
      <c r="B96" s="9" t="s">
        <v>14</v>
      </c>
      <c r="C96" s="9" t="s">
        <v>15</v>
      </c>
      <c r="D96" s="9" t="s">
        <v>153</v>
      </c>
      <c r="E96" s="9" t="s">
        <v>174</v>
      </c>
      <c r="F96" s="9">
        <v>708418609</v>
      </c>
      <c r="G96" s="9" t="s">
        <v>16</v>
      </c>
      <c r="H96" s="9" t="s">
        <v>13</v>
      </c>
      <c r="I96" s="9" t="s">
        <v>17</v>
      </c>
      <c r="J96" s="10" t="s">
        <v>17</v>
      </c>
      <c r="K96" s="9" t="s">
        <v>160</v>
      </c>
      <c r="L96" s="9">
        <v>5</v>
      </c>
      <c r="M96" s="11">
        <v>33500</v>
      </c>
      <c r="N96" s="11">
        <v>167500</v>
      </c>
      <c r="O96" s="7" t="str">
        <f>"S"&amp;_xlfn.ISOWEEKNUM(Semaine_1[[#This Row],[Date]])</f>
        <v>S50</v>
      </c>
      <c r="P96" t="str">
        <f>TEXT(Semaine_1[[#This Row],[Date]],"MMMM")</f>
        <v>décembre</v>
      </c>
    </row>
    <row r="97" spans="1:16" x14ac:dyDescent="0.45">
      <c r="A97" s="8">
        <v>46001</v>
      </c>
      <c r="B97" s="9" t="s">
        <v>51</v>
      </c>
      <c r="C97" s="9" t="s">
        <v>52</v>
      </c>
      <c r="D97" s="9" t="s">
        <v>98</v>
      </c>
      <c r="E97" s="9" t="s">
        <v>175</v>
      </c>
      <c r="F97" s="9">
        <v>780172121</v>
      </c>
      <c r="G97" s="9" t="s">
        <v>16</v>
      </c>
      <c r="H97" s="9" t="s">
        <v>13</v>
      </c>
      <c r="I97" s="9" t="s">
        <v>17</v>
      </c>
      <c r="J97" s="10" t="s">
        <v>176</v>
      </c>
      <c r="K97" s="9" t="s">
        <v>60</v>
      </c>
      <c r="L97" s="9">
        <v>2</v>
      </c>
      <c r="M97" s="11">
        <v>10500</v>
      </c>
      <c r="N97" s="11">
        <v>21000</v>
      </c>
      <c r="O97" s="7" t="str">
        <f>"S"&amp;_xlfn.ISOWEEKNUM(Semaine_1[[#This Row],[Date]])</f>
        <v>S50</v>
      </c>
      <c r="P97" t="str">
        <f>TEXT(Semaine_1[[#This Row],[Date]],"MMMM")</f>
        <v>décembre</v>
      </c>
    </row>
    <row r="98" spans="1:16" x14ac:dyDescent="0.45">
      <c r="A98" s="8">
        <v>46001</v>
      </c>
      <c r="B98" s="9" t="s">
        <v>51</v>
      </c>
      <c r="C98" s="9" t="s">
        <v>52</v>
      </c>
      <c r="D98" s="9" t="s">
        <v>61</v>
      </c>
      <c r="E98" s="9" t="s">
        <v>177</v>
      </c>
      <c r="F98" s="9">
        <v>777262311</v>
      </c>
      <c r="G98" s="9" t="s">
        <v>16</v>
      </c>
      <c r="H98" s="9" t="s">
        <v>13</v>
      </c>
      <c r="I98" s="9" t="s">
        <v>17</v>
      </c>
      <c r="J98" s="10" t="s">
        <v>178</v>
      </c>
      <c r="K98" s="9" t="s">
        <v>31</v>
      </c>
      <c r="L98" s="9">
        <v>1</v>
      </c>
      <c r="M98" s="11">
        <v>15500</v>
      </c>
      <c r="N98" s="11">
        <v>15500</v>
      </c>
      <c r="O98" s="7" t="str">
        <f>"S"&amp;_xlfn.ISOWEEKNUM(Semaine_1[[#This Row],[Date]])</f>
        <v>S50</v>
      </c>
      <c r="P98" t="str">
        <f>TEXT(Semaine_1[[#This Row],[Date]],"MMMM")</f>
        <v>décembre</v>
      </c>
    </row>
    <row r="99" spans="1:16" x14ac:dyDescent="0.45">
      <c r="A99" s="8">
        <v>46002</v>
      </c>
      <c r="B99" s="9" t="s">
        <v>179</v>
      </c>
      <c r="C99" s="9" t="s">
        <v>35</v>
      </c>
      <c r="D99" s="9" t="s">
        <v>180</v>
      </c>
      <c r="E99" s="9" t="s">
        <v>181</v>
      </c>
      <c r="F99" s="9">
        <v>779598695</v>
      </c>
      <c r="G99" s="9" t="s">
        <v>182</v>
      </c>
      <c r="H99" s="9" t="s">
        <v>13</v>
      </c>
      <c r="I99" s="9" t="s">
        <v>17</v>
      </c>
      <c r="J99" s="10" t="s">
        <v>183</v>
      </c>
      <c r="K99" s="9" t="s">
        <v>72</v>
      </c>
      <c r="L99" s="9">
        <v>10</v>
      </c>
      <c r="M99" s="11">
        <v>26000</v>
      </c>
      <c r="N99" s="11">
        <v>260000</v>
      </c>
      <c r="O99" s="7" t="str">
        <f>"S"&amp;_xlfn.ISOWEEKNUM(Semaine_1[[#This Row],[Date]])</f>
        <v>S50</v>
      </c>
      <c r="P99" t="str">
        <f>TEXT(Semaine_1[[#This Row],[Date]],"MMMM")</f>
        <v>décembre</v>
      </c>
    </row>
    <row r="100" spans="1:16" x14ac:dyDescent="0.45">
      <c r="A100" s="8">
        <v>46002</v>
      </c>
      <c r="B100" s="9" t="s">
        <v>24</v>
      </c>
      <c r="C100" s="9" t="s">
        <v>25</v>
      </c>
      <c r="D100" s="9" t="s">
        <v>26</v>
      </c>
      <c r="E100" s="9" t="s">
        <v>171</v>
      </c>
      <c r="F100" s="9">
        <v>770343860</v>
      </c>
      <c r="G100" s="9" t="s">
        <v>49</v>
      </c>
      <c r="H100" s="9" t="s">
        <v>13</v>
      </c>
      <c r="I100" s="9" t="s">
        <v>17</v>
      </c>
      <c r="J100" s="10" t="s">
        <v>27</v>
      </c>
      <c r="K100" s="9" t="s">
        <v>72</v>
      </c>
      <c r="L100" s="9">
        <v>8</v>
      </c>
      <c r="M100" s="11">
        <v>26000</v>
      </c>
      <c r="N100" s="11">
        <v>208000</v>
      </c>
      <c r="O100" s="7" t="str">
        <f>"S"&amp;_xlfn.ISOWEEKNUM(Semaine_1[[#This Row],[Date]])</f>
        <v>S50</v>
      </c>
      <c r="P100" t="str">
        <f>TEXT(Semaine_1[[#This Row],[Date]],"MMMM")</f>
        <v>décembre</v>
      </c>
    </row>
    <row r="101" spans="1:16" x14ac:dyDescent="0.45">
      <c r="A101" s="8">
        <v>46002</v>
      </c>
      <c r="B101" s="9" t="s">
        <v>24</v>
      </c>
      <c r="C101" s="9" t="s">
        <v>25</v>
      </c>
      <c r="D101" s="9" t="s">
        <v>26</v>
      </c>
      <c r="E101" s="9" t="s">
        <v>184</v>
      </c>
      <c r="F101" s="9">
        <v>338559870</v>
      </c>
      <c r="G101" s="9" t="s">
        <v>16</v>
      </c>
      <c r="H101" s="9" t="s">
        <v>13</v>
      </c>
      <c r="I101" s="9" t="s">
        <v>17</v>
      </c>
      <c r="J101" s="10" t="s">
        <v>27</v>
      </c>
      <c r="K101" s="9" t="s">
        <v>72</v>
      </c>
      <c r="L101" s="9">
        <v>25</v>
      </c>
      <c r="M101" s="11">
        <v>26000</v>
      </c>
      <c r="N101" s="11">
        <v>650000</v>
      </c>
      <c r="O101" s="7" t="str">
        <f>"S"&amp;_xlfn.ISOWEEKNUM(Semaine_1[[#This Row],[Date]])</f>
        <v>S50</v>
      </c>
      <c r="P101" t="str">
        <f>TEXT(Semaine_1[[#This Row],[Date]],"MMMM")</f>
        <v>décembre</v>
      </c>
    </row>
    <row r="102" spans="1:16" x14ac:dyDescent="0.45">
      <c r="A102" s="8">
        <v>46002</v>
      </c>
      <c r="B102" s="9" t="s">
        <v>88</v>
      </c>
      <c r="C102" s="9" t="s">
        <v>89</v>
      </c>
      <c r="D102" s="9" t="s">
        <v>115</v>
      </c>
      <c r="E102" s="9" t="s">
        <v>185</v>
      </c>
      <c r="F102" s="9">
        <v>776180875</v>
      </c>
      <c r="G102" s="9" t="s">
        <v>16</v>
      </c>
      <c r="H102" s="9" t="s">
        <v>13</v>
      </c>
      <c r="I102" s="9" t="s">
        <v>17</v>
      </c>
      <c r="J102" s="10" t="s">
        <v>21</v>
      </c>
      <c r="K102" s="9" t="s">
        <v>72</v>
      </c>
      <c r="L102" s="9">
        <v>25</v>
      </c>
      <c r="M102" s="11">
        <v>26000</v>
      </c>
      <c r="N102" s="11">
        <v>650000</v>
      </c>
      <c r="O102" s="7" t="str">
        <f>"S"&amp;_xlfn.ISOWEEKNUM(Semaine_1[[#This Row],[Date]])</f>
        <v>S50</v>
      </c>
      <c r="P102" t="str">
        <f>TEXT(Semaine_1[[#This Row],[Date]],"MMMM")</f>
        <v>décembre</v>
      </c>
    </row>
    <row r="103" spans="1:16" x14ac:dyDescent="0.45">
      <c r="A103" s="8">
        <v>46007</v>
      </c>
      <c r="B103" s="9" t="s">
        <v>34</v>
      </c>
      <c r="C103" s="9" t="s">
        <v>35</v>
      </c>
      <c r="D103" s="9" t="s">
        <v>186</v>
      </c>
      <c r="E103" s="9" t="s">
        <v>187</v>
      </c>
      <c r="F103" s="9">
        <v>775113886</v>
      </c>
      <c r="G103" s="9" t="s">
        <v>16</v>
      </c>
      <c r="H103" s="9" t="s">
        <v>13</v>
      </c>
      <c r="I103" s="9" t="s">
        <v>17</v>
      </c>
      <c r="J103" s="10" t="s">
        <v>121</v>
      </c>
      <c r="K103" s="9" t="s">
        <v>72</v>
      </c>
      <c r="L103" s="9">
        <v>25</v>
      </c>
      <c r="M103" s="11">
        <v>26000</v>
      </c>
      <c r="N103" s="11">
        <v>650000</v>
      </c>
      <c r="O103" s="7" t="str">
        <f>"S"&amp;_xlfn.ISOWEEKNUM(Semaine_1[[#This Row],[Date]])</f>
        <v>S51</v>
      </c>
      <c r="P103" t="str">
        <f>TEXT(Semaine_1[[#This Row],[Date]],"MMMM")</f>
        <v>décembre</v>
      </c>
    </row>
    <row r="104" spans="1:16" x14ac:dyDescent="0.45">
      <c r="A104" s="8">
        <v>46007</v>
      </c>
      <c r="B104" s="9" t="s">
        <v>34</v>
      </c>
      <c r="C104" s="9" t="s">
        <v>35</v>
      </c>
      <c r="D104" s="9" t="s">
        <v>38</v>
      </c>
      <c r="E104" s="9" t="s">
        <v>188</v>
      </c>
      <c r="F104" s="9">
        <v>772443935</v>
      </c>
      <c r="G104" s="9" t="s">
        <v>16</v>
      </c>
      <c r="H104" s="9" t="s">
        <v>13</v>
      </c>
      <c r="I104" s="9" t="s">
        <v>17</v>
      </c>
      <c r="J104" s="10" t="s">
        <v>39</v>
      </c>
      <c r="K104" s="9" t="s">
        <v>72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S51</v>
      </c>
      <c r="P104" t="str">
        <f>TEXT(Semaine_1[[#This Row],[Date]],"MMMM")</f>
        <v>décembre</v>
      </c>
    </row>
    <row r="105" spans="1:16" x14ac:dyDescent="0.45">
      <c r="A105" s="8">
        <v>46007</v>
      </c>
      <c r="B105" s="9" t="s">
        <v>14</v>
      </c>
      <c r="C105" s="9" t="s">
        <v>15</v>
      </c>
      <c r="D105" s="9" t="s">
        <v>28</v>
      </c>
      <c r="E105" s="9" t="s">
        <v>84</v>
      </c>
      <c r="F105" s="9">
        <v>770158721</v>
      </c>
      <c r="G105" s="9" t="s">
        <v>16</v>
      </c>
      <c r="H105" s="9" t="s">
        <v>13</v>
      </c>
      <c r="I105" s="9" t="s">
        <v>17</v>
      </c>
      <c r="J105" s="10" t="s">
        <v>17</v>
      </c>
      <c r="K105" s="9" t="s">
        <v>31</v>
      </c>
      <c r="L105" s="9">
        <v>25</v>
      </c>
      <c r="M105" s="11">
        <v>15500</v>
      </c>
      <c r="N105" s="11">
        <v>387500</v>
      </c>
      <c r="O105" s="7" t="str">
        <f>"S"&amp;_xlfn.ISOWEEKNUM(Semaine_1[[#This Row],[Date]])</f>
        <v>S51</v>
      </c>
      <c r="P105" t="str">
        <f>TEXT(Semaine_1[[#This Row],[Date]],"MMMM")</f>
        <v>décembre</v>
      </c>
    </row>
    <row r="106" spans="1:16" x14ac:dyDescent="0.45">
      <c r="A106" s="8">
        <v>46007</v>
      </c>
      <c r="B106" s="9" t="s">
        <v>14</v>
      </c>
      <c r="C106" s="9" t="s">
        <v>15</v>
      </c>
      <c r="D106" s="9" t="s">
        <v>28</v>
      </c>
      <c r="E106" s="9" t="s">
        <v>84</v>
      </c>
      <c r="F106" s="9">
        <v>770158721</v>
      </c>
      <c r="G106" s="9" t="s">
        <v>16</v>
      </c>
      <c r="H106" s="9" t="s">
        <v>13</v>
      </c>
      <c r="I106" s="9" t="s">
        <v>17</v>
      </c>
      <c r="J106" s="10" t="s">
        <v>17</v>
      </c>
      <c r="K106" s="9" t="s">
        <v>41</v>
      </c>
      <c r="L106" s="9">
        <v>20</v>
      </c>
      <c r="M106" s="11">
        <v>15500</v>
      </c>
      <c r="N106" s="11">
        <v>310000</v>
      </c>
      <c r="O106" s="7" t="str">
        <f>"S"&amp;_xlfn.ISOWEEKNUM(Semaine_1[[#This Row],[Date]])</f>
        <v>S51</v>
      </c>
      <c r="P106" t="str">
        <f>TEXT(Semaine_1[[#This Row],[Date]],"MMMM")</f>
        <v>décembre</v>
      </c>
    </row>
    <row r="107" spans="1:16" x14ac:dyDescent="0.45">
      <c r="A107" s="8">
        <v>46007</v>
      </c>
      <c r="B107" s="9" t="s">
        <v>14</v>
      </c>
      <c r="C107" s="9" t="s">
        <v>15</v>
      </c>
      <c r="D107" s="9" t="s">
        <v>86</v>
      </c>
      <c r="E107" s="9" t="s">
        <v>87</v>
      </c>
      <c r="F107" s="9">
        <v>775411988</v>
      </c>
      <c r="G107" s="9" t="s">
        <v>49</v>
      </c>
      <c r="H107" s="9" t="s">
        <v>13</v>
      </c>
      <c r="I107" s="9" t="s">
        <v>17</v>
      </c>
      <c r="J107" s="10" t="s">
        <v>17</v>
      </c>
      <c r="K107" s="9" t="s">
        <v>72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S51</v>
      </c>
      <c r="P107" t="str">
        <f>TEXT(Semaine_1[[#This Row],[Date]],"MMMM")</f>
        <v>décembre</v>
      </c>
    </row>
    <row r="108" spans="1:16" x14ac:dyDescent="0.45">
      <c r="A108" s="8">
        <v>46007</v>
      </c>
      <c r="B108" s="9" t="s">
        <v>51</v>
      </c>
      <c r="C108" s="9" t="s">
        <v>52</v>
      </c>
      <c r="D108" s="9" t="s">
        <v>98</v>
      </c>
      <c r="E108" s="9" t="s">
        <v>189</v>
      </c>
      <c r="F108" s="9">
        <v>776167544</v>
      </c>
      <c r="G108" s="9" t="s">
        <v>16</v>
      </c>
      <c r="H108" s="9" t="s">
        <v>13</v>
      </c>
      <c r="I108" s="9" t="s">
        <v>17</v>
      </c>
      <c r="J108" s="10" t="s">
        <v>138</v>
      </c>
      <c r="K108" s="9" t="s">
        <v>29</v>
      </c>
      <c r="L108" s="9">
        <v>5</v>
      </c>
      <c r="M108" s="11">
        <v>10250</v>
      </c>
      <c r="N108" s="11">
        <v>51250</v>
      </c>
      <c r="O108" s="7" t="str">
        <f>"S"&amp;_xlfn.ISOWEEKNUM(Semaine_1[[#This Row],[Date]])</f>
        <v>S51</v>
      </c>
      <c r="P108" t="str">
        <f>TEXT(Semaine_1[[#This Row],[Date]],"MMMM")</f>
        <v>décembre</v>
      </c>
    </row>
    <row r="109" spans="1:16" x14ac:dyDescent="0.45">
      <c r="A109" s="8">
        <v>46006</v>
      </c>
      <c r="B109" s="9" t="s">
        <v>24</v>
      </c>
      <c r="C109" s="9" t="s">
        <v>25</v>
      </c>
      <c r="D109" s="9" t="s">
        <v>33</v>
      </c>
      <c r="E109" s="9" t="s">
        <v>190</v>
      </c>
      <c r="F109" s="9">
        <v>774216339</v>
      </c>
      <c r="G109" s="9" t="s">
        <v>16</v>
      </c>
      <c r="H109" s="9" t="s">
        <v>13</v>
      </c>
      <c r="I109" s="9" t="s">
        <v>17</v>
      </c>
      <c r="J109" s="10" t="s">
        <v>27</v>
      </c>
      <c r="K109" s="9" t="s">
        <v>72</v>
      </c>
      <c r="L109" s="9">
        <v>25</v>
      </c>
      <c r="M109" s="11">
        <v>26000</v>
      </c>
      <c r="N109" s="11">
        <v>650000</v>
      </c>
      <c r="O109" s="7" t="str">
        <f>"S"&amp;_xlfn.ISOWEEKNUM(Semaine_1[[#This Row],[Date]])</f>
        <v>S51</v>
      </c>
      <c r="P109" t="str">
        <f>TEXT(Semaine_1[[#This Row],[Date]],"MMMM")</f>
        <v>décembre</v>
      </c>
    </row>
    <row r="110" spans="1:16" x14ac:dyDescent="0.45">
      <c r="A110" s="8">
        <v>46006</v>
      </c>
      <c r="B110" s="9" t="s">
        <v>24</v>
      </c>
      <c r="C110" s="9" t="s">
        <v>25</v>
      </c>
      <c r="D110" s="9" t="s">
        <v>33</v>
      </c>
      <c r="E110" s="9" t="s">
        <v>187</v>
      </c>
      <c r="F110" s="9">
        <v>770242093</v>
      </c>
      <c r="G110" s="9" t="s">
        <v>16</v>
      </c>
      <c r="H110" s="9" t="s">
        <v>13</v>
      </c>
      <c r="I110" s="9" t="s">
        <v>17</v>
      </c>
      <c r="J110" s="10" t="s">
        <v>27</v>
      </c>
      <c r="K110" s="9" t="s">
        <v>60</v>
      </c>
      <c r="L110" s="9">
        <v>10</v>
      </c>
      <c r="M110" s="11">
        <v>10500</v>
      </c>
      <c r="N110" s="11">
        <v>105000</v>
      </c>
      <c r="O110" s="7" t="str">
        <f>"S"&amp;_xlfn.ISOWEEKNUM(Semaine_1[[#This Row],[Date]])</f>
        <v>S51</v>
      </c>
      <c r="P110" t="str">
        <f>TEXT(Semaine_1[[#This Row],[Date]],"MMMM")</f>
        <v>décembre</v>
      </c>
    </row>
    <row r="111" spans="1:16" x14ac:dyDescent="0.45">
      <c r="A111" s="8">
        <v>46006</v>
      </c>
      <c r="B111" s="9" t="s">
        <v>34</v>
      </c>
      <c r="C111" s="9" t="s">
        <v>35</v>
      </c>
      <c r="D111" s="9" t="s">
        <v>191</v>
      </c>
      <c r="E111" s="9" t="s">
        <v>92</v>
      </c>
      <c r="F111" s="9">
        <v>777222802</v>
      </c>
      <c r="G111" s="9" t="s">
        <v>16</v>
      </c>
      <c r="H111" s="9" t="s">
        <v>13</v>
      </c>
      <c r="I111" s="9" t="s">
        <v>17</v>
      </c>
      <c r="J111" s="10" t="s">
        <v>39</v>
      </c>
      <c r="K111" s="9" t="s">
        <v>60</v>
      </c>
      <c r="L111" s="9">
        <v>25</v>
      </c>
      <c r="M111" s="11">
        <v>10500</v>
      </c>
      <c r="N111" s="11">
        <v>262500</v>
      </c>
      <c r="O111" s="7" t="str">
        <f>"S"&amp;_xlfn.ISOWEEKNUM(Semaine_1[[#This Row],[Date]])</f>
        <v>S51</v>
      </c>
      <c r="P111" t="str">
        <f>TEXT(Semaine_1[[#This Row],[Date]],"MMMM")</f>
        <v>décembre</v>
      </c>
    </row>
    <row r="112" spans="1:16" x14ac:dyDescent="0.45">
      <c r="A112" s="8">
        <v>46006</v>
      </c>
      <c r="B112" s="9" t="s">
        <v>34</v>
      </c>
      <c r="C112" s="9" t="s">
        <v>35</v>
      </c>
      <c r="D112" s="9" t="s">
        <v>38</v>
      </c>
      <c r="E112" s="9" t="s">
        <v>192</v>
      </c>
      <c r="F112" s="9">
        <v>779530807</v>
      </c>
      <c r="G112" s="9" t="s">
        <v>16</v>
      </c>
      <c r="H112" s="9" t="s">
        <v>36</v>
      </c>
      <c r="I112" s="9" t="s">
        <v>17</v>
      </c>
      <c r="J112" s="10" t="s">
        <v>39</v>
      </c>
      <c r="K112" s="9" t="s">
        <v>72</v>
      </c>
      <c r="L112" s="9">
        <v>25</v>
      </c>
      <c r="M112" s="11">
        <v>26000</v>
      </c>
      <c r="N112" s="11">
        <v>650000</v>
      </c>
      <c r="O112" s="7" t="str">
        <f>"S"&amp;_xlfn.ISOWEEKNUM(Semaine_1[[#This Row],[Date]])</f>
        <v>S51</v>
      </c>
      <c r="P112" t="str">
        <f>TEXT(Semaine_1[[#This Row],[Date]],"MMMM")</f>
        <v>décembre</v>
      </c>
    </row>
    <row r="113" spans="1:16" x14ac:dyDescent="0.45">
      <c r="A113" s="8">
        <v>46006</v>
      </c>
      <c r="B113" s="9" t="s">
        <v>22</v>
      </c>
      <c r="C113" s="9" t="s">
        <v>23</v>
      </c>
      <c r="D113" s="9" t="s">
        <v>42</v>
      </c>
      <c r="E113" s="9" t="s">
        <v>43</v>
      </c>
      <c r="F113" s="9">
        <v>784227996</v>
      </c>
      <c r="G113" s="9" t="s">
        <v>16</v>
      </c>
      <c r="H113" s="9" t="s">
        <v>13</v>
      </c>
      <c r="I113" s="9" t="s">
        <v>17</v>
      </c>
      <c r="J113" s="10" t="s">
        <v>95</v>
      </c>
      <c r="K113" s="9" t="s">
        <v>60</v>
      </c>
      <c r="L113" s="9">
        <v>25</v>
      </c>
      <c r="M113" s="11">
        <v>10500</v>
      </c>
      <c r="N113" s="11">
        <v>262500</v>
      </c>
      <c r="O113" s="7" t="str">
        <f>"S"&amp;_xlfn.ISOWEEKNUM(Semaine_1[[#This Row],[Date]])</f>
        <v>S51</v>
      </c>
      <c r="P113" t="str">
        <f>TEXT(Semaine_1[[#This Row],[Date]],"MMMM")</f>
        <v>décembre</v>
      </c>
    </row>
    <row r="114" spans="1:16" x14ac:dyDescent="0.45">
      <c r="A114" s="8">
        <v>46006</v>
      </c>
      <c r="B114" s="9" t="s">
        <v>51</v>
      </c>
      <c r="C114" s="9" t="s">
        <v>52</v>
      </c>
      <c r="D114" s="9" t="s">
        <v>53</v>
      </c>
      <c r="E114" s="9" t="s">
        <v>37</v>
      </c>
      <c r="F114" s="9">
        <v>772222253</v>
      </c>
      <c r="G114" s="9" t="s">
        <v>54</v>
      </c>
      <c r="H114" s="9" t="s">
        <v>13</v>
      </c>
      <c r="I114" s="9" t="s">
        <v>17</v>
      </c>
      <c r="J114" s="10" t="s">
        <v>193</v>
      </c>
      <c r="K114" s="9" t="s">
        <v>72</v>
      </c>
      <c r="L114" s="9">
        <v>25</v>
      </c>
      <c r="M114" s="11">
        <v>26000</v>
      </c>
      <c r="N114" s="11">
        <v>650000</v>
      </c>
      <c r="O114" s="7" t="str">
        <f>"S"&amp;_xlfn.ISOWEEKNUM(Semaine_1[[#This Row],[Date]])</f>
        <v>S51</v>
      </c>
      <c r="P114" t="str">
        <f>TEXT(Semaine_1[[#This Row],[Date]],"MMMM")</f>
        <v>décembre</v>
      </c>
    </row>
    <row r="115" spans="1:16" x14ac:dyDescent="0.45">
      <c r="A115" s="8">
        <v>46006</v>
      </c>
      <c r="B115" s="9" t="s">
        <v>51</v>
      </c>
      <c r="C115" s="9" t="s">
        <v>52</v>
      </c>
      <c r="D115" s="9" t="s">
        <v>53</v>
      </c>
      <c r="E115" s="9" t="s">
        <v>37</v>
      </c>
      <c r="F115" s="9">
        <v>772222253</v>
      </c>
      <c r="G115" s="9" t="s">
        <v>54</v>
      </c>
      <c r="H115" s="9" t="s">
        <v>13</v>
      </c>
      <c r="I115" s="9" t="s">
        <v>17</v>
      </c>
      <c r="J115" s="10" t="s">
        <v>193</v>
      </c>
      <c r="K115" s="9" t="s">
        <v>194</v>
      </c>
      <c r="L115" s="9">
        <v>2</v>
      </c>
      <c r="M115" s="11">
        <v>57000</v>
      </c>
      <c r="N115" s="11">
        <v>114000</v>
      </c>
      <c r="O115" s="7" t="str">
        <f>"S"&amp;_xlfn.ISOWEEKNUM(Semaine_1[[#This Row],[Date]])</f>
        <v>S51</v>
      </c>
      <c r="P115" t="str">
        <f>TEXT(Semaine_1[[#This Row],[Date]],"MMMM")</f>
        <v>décembre</v>
      </c>
    </row>
    <row r="116" spans="1:16" x14ac:dyDescent="0.45">
      <c r="A116" s="8">
        <v>46009</v>
      </c>
      <c r="B116" s="9" t="s">
        <v>88</v>
      </c>
      <c r="C116" s="9" t="s">
        <v>89</v>
      </c>
      <c r="D116" s="9" t="s">
        <v>115</v>
      </c>
      <c r="E116" s="9" t="s">
        <v>163</v>
      </c>
      <c r="F116" s="9">
        <v>775541532</v>
      </c>
      <c r="G116" s="9" t="s">
        <v>16</v>
      </c>
      <c r="H116" s="9" t="s">
        <v>13</v>
      </c>
      <c r="I116" s="9" t="s">
        <v>17</v>
      </c>
      <c r="J116" s="10" t="s">
        <v>21</v>
      </c>
      <c r="K116" s="9" t="s">
        <v>29</v>
      </c>
      <c r="L116" s="9">
        <v>10</v>
      </c>
      <c r="M116" s="11">
        <v>9750</v>
      </c>
      <c r="N116" s="11">
        <v>97500</v>
      </c>
      <c r="O116" s="7" t="str">
        <f>"S"&amp;_xlfn.ISOWEEKNUM(Semaine_1[[#This Row],[Date]])</f>
        <v>S51</v>
      </c>
      <c r="P116" t="str">
        <f>TEXT(Semaine_1[[#This Row],[Date]],"MMMM")</f>
        <v>décembre</v>
      </c>
    </row>
    <row r="117" spans="1:16" x14ac:dyDescent="0.45">
      <c r="A117" s="8">
        <v>46008</v>
      </c>
      <c r="B117" s="9" t="s">
        <v>24</v>
      </c>
      <c r="C117" s="9" t="s">
        <v>25</v>
      </c>
      <c r="D117" s="9" t="s">
        <v>26</v>
      </c>
      <c r="E117" s="9" t="s">
        <v>195</v>
      </c>
      <c r="F117" s="9">
        <v>776317469</v>
      </c>
      <c r="G117" s="9" t="s">
        <v>16</v>
      </c>
      <c r="H117" s="9" t="s">
        <v>13</v>
      </c>
      <c r="I117" s="9" t="s">
        <v>17</v>
      </c>
      <c r="J117" s="10" t="s">
        <v>27</v>
      </c>
      <c r="K117" s="9" t="s">
        <v>29</v>
      </c>
      <c r="L117" s="9">
        <v>10</v>
      </c>
      <c r="M117" s="11">
        <v>9750</v>
      </c>
      <c r="N117" s="11">
        <v>97500</v>
      </c>
      <c r="O117" s="7" t="str">
        <f>"S"&amp;_xlfn.ISOWEEKNUM(Semaine_1[[#This Row],[Date]])</f>
        <v>S51</v>
      </c>
      <c r="P117" t="str">
        <f>TEXT(Semaine_1[[#This Row],[Date]],"MMMM")</f>
        <v>décembre</v>
      </c>
    </row>
    <row r="118" spans="1:16" x14ac:dyDescent="0.45">
      <c r="A118" s="8">
        <v>46008</v>
      </c>
      <c r="B118" s="9" t="s">
        <v>24</v>
      </c>
      <c r="C118" s="9" t="s">
        <v>25</v>
      </c>
      <c r="D118" s="9" t="s">
        <v>26</v>
      </c>
      <c r="E118" s="9" t="s">
        <v>195</v>
      </c>
      <c r="F118" s="9">
        <v>776317469</v>
      </c>
      <c r="G118" s="9" t="s">
        <v>16</v>
      </c>
      <c r="H118" s="9" t="s">
        <v>13</v>
      </c>
      <c r="I118" s="9" t="s">
        <v>17</v>
      </c>
      <c r="J118" s="10" t="s">
        <v>27</v>
      </c>
      <c r="K118" s="9" t="s">
        <v>196</v>
      </c>
      <c r="L118" s="9">
        <v>5</v>
      </c>
      <c r="M118" s="11">
        <v>30000</v>
      </c>
      <c r="N118" s="11">
        <v>150000</v>
      </c>
      <c r="O118" s="7" t="str">
        <f>"S"&amp;_xlfn.ISOWEEKNUM(Semaine_1[[#This Row],[Date]])</f>
        <v>S51</v>
      </c>
      <c r="P118" t="str">
        <f>TEXT(Semaine_1[[#This Row],[Date]],"MMMM")</f>
        <v>décembre</v>
      </c>
    </row>
    <row r="119" spans="1:16" x14ac:dyDescent="0.45">
      <c r="A119" s="8">
        <v>46011</v>
      </c>
      <c r="B119" s="9" t="s">
        <v>22</v>
      </c>
      <c r="C119" s="9" t="s">
        <v>23</v>
      </c>
      <c r="D119" s="9" t="s">
        <v>109</v>
      </c>
      <c r="E119" s="9" t="s">
        <v>110</v>
      </c>
      <c r="F119" s="9">
        <v>779661523</v>
      </c>
      <c r="G119" s="9" t="s">
        <v>16</v>
      </c>
      <c r="H119" s="9" t="s">
        <v>13</v>
      </c>
      <c r="I119" s="9" t="s">
        <v>17</v>
      </c>
      <c r="J119" s="10" t="s">
        <v>95</v>
      </c>
      <c r="K119" s="9" t="s">
        <v>29</v>
      </c>
      <c r="L119" s="9">
        <v>25</v>
      </c>
      <c r="M119" s="11">
        <v>9750</v>
      </c>
      <c r="N119" s="11">
        <v>243750</v>
      </c>
      <c r="O119" s="7" t="str">
        <f>"S"&amp;_xlfn.ISOWEEKNUM(Semaine_1[[#This Row],[Date]])</f>
        <v>S51</v>
      </c>
      <c r="P119" t="str">
        <f>TEXT(Semaine_1[[#This Row],[Date]],"MMMM")</f>
        <v>décembre</v>
      </c>
    </row>
    <row r="120" spans="1:16" x14ac:dyDescent="0.45">
      <c r="A120" s="8">
        <v>46011</v>
      </c>
      <c r="B120" s="9" t="s">
        <v>22</v>
      </c>
      <c r="C120" s="9" t="s">
        <v>23</v>
      </c>
      <c r="D120" s="9" t="s">
        <v>109</v>
      </c>
      <c r="E120" s="9" t="s">
        <v>197</v>
      </c>
      <c r="F120" s="9">
        <v>775839852</v>
      </c>
      <c r="G120" s="9" t="s">
        <v>16</v>
      </c>
      <c r="H120" s="9" t="s">
        <v>13</v>
      </c>
      <c r="I120" s="9" t="s">
        <v>17</v>
      </c>
      <c r="J120" s="10" t="s">
        <v>95</v>
      </c>
      <c r="K120" s="9" t="s">
        <v>29</v>
      </c>
      <c r="L120" s="9">
        <v>25</v>
      </c>
      <c r="M120" s="11">
        <v>9750</v>
      </c>
      <c r="N120" s="11">
        <v>243750</v>
      </c>
      <c r="O120" s="7" t="str">
        <f>"S"&amp;_xlfn.ISOWEEKNUM(Semaine_1[[#This Row],[Date]])</f>
        <v>S51</v>
      </c>
      <c r="P120" t="str">
        <f>TEXT(Semaine_1[[#This Row],[Date]],"MMMM")</f>
        <v>décembre</v>
      </c>
    </row>
    <row r="121" spans="1:16" x14ac:dyDescent="0.45">
      <c r="A121" s="8">
        <v>46011</v>
      </c>
      <c r="B121" s="9" t="s">
        <v>51</v>
      </c>
      <c r="C121" s="9" t="s">
        <v>52</v>
      </c>
      <c r="D121" s="9" t="s">
        <v>129</v>
      </c>
      <c r="E121" s="9" t="s">
        <v>198</v>
      </c>
      <c r="F121" s="9">
        <v>708015391</v>
      </c>
      <c r="G121" s="9" t="s">
        <v>16</v>
      </c>
      <c r="H121" s="9" t="s">
        <v>36</v>
      </c>
      <c r="I121" s="9" t="s">
        <v>17</v>
      </c>
      <c r="J121" s="10" t="s">
        <v>58</v>
      </c>
      <c r="K121" s="9" t="s">
        <v>60</v>
      </c>
      <c r="L121" s="9">
        <v>25</v>
      </c>
      <c r="M121" s="11">
        <v>10500</v>
      </c>
      <c r="N121" s="11">
        <v>262500</v>
      </c>
      <c r="O121" s="7" t="str">
        <f>"S"&amp;_xlfn.ISOWEEKNUM(Semaine_1[[#This Row],[Date]])</f>
        <v>S51</v>
      </c>
      <c r="P121" t="str">
        <f>TEXT(Semaine_1[[#This Row],[Date]],"MMMM")</f>
        <v>décembre</v>
      </c>
    </row>
    <row r="122" spans="1:16" x14ac:dyDescent="0.45">
      <c r="A122" s="8">
        <v>46010</v>
      </c>
      <c r="B122" s="9" t="s">
        <v>51</v>
      </c>
      <c r="C122" s="9" t="s">
        <v>52</v>
      </c>
      <c r="D122" s="9" t="s">
        <v>61</v>
      </c>
      <c r="E122" s="9" t="s">
        <v>97</v>
      </c>
      <c r="F122" s="9">
        <v>775544532</v>
      </c>
      <c r="G122" s="9" t="s">
        <v>49</v>
      </c>
      <c r="H122" s="9" t="s">
        <v>13</v>
      </c>
      <c r="I122" s="9" t="s">
        <v>17</v>
      </c>
      <c r="J122" s="10" t="s">
        <v>58</v>
      </c>
      <c r="K122" s="9" t="s">
        <v>72</v>
      </c>
      <c r="L122" s="9">
        <v>25</v>
      </c>
      <c r="M122" s="11">
        <v>26000</v>
      </c>
      <c r="N122" s="11">
        <v>650000</v>
      </c>
      <c r="O122" s="7" t="str">
        <f>"S"&amp;_xlfn.ISOWEEKNUM(Semaine_1[[#This Row],[Date]])</f>
        <v>S51</v>
      </c>
      <c r="P122" t="str">
        <f>TEXT(Semaine_1[[#This Row],[Date]],"MMMM")</f>
        <v>décembre</v>
      </c>
    </row>
    <row r="123" spans="1:16" x14ac:dyDescent="0.45">
      <c r="A123" s="8">
        <v>46010</v>
      </c>
      <c r="B123" s="9" t="s">
        <v>88</v>
      </c>
      <c r="C123" s="9" t="s">
        <v>89</v>
      </c>
      <c r="D123" s="9" t="s">
        <v>143</v>
      </c>
      <c r="E123" s="9" t="s">
        <v>199</v>
      </c>
      <c r="F123" s="9">
        <v>775067806</v>
      </c>
      <c r="G123" s="9" t="s">
        <v>16</v>
      </c>
      <c r="H123" s="9" t="s">
        <v>13</v>
      </c>
      <c r="I123" s="9" t="s">
        <v>17</v>
      </c>
      <c r="J123" s="10" t="s">
        <v>21</v>
      </c>
      <c r="K123" s="9" t="s">
        <v>68</v>
      </c>
      <c r="L123" s="9">
        <v>25</v>
      </c>
      <c r="M123" s="11">
        <v>30000</v>
      </c>
      <c r="N123" s="11">
        <v>750000</v>
      </c>
      <c r="O123" s="7" t="str">
        <f>"S"&amp;_xlfn.ISOWEEKNUM(Semaine_1[[#This Row],[Date]])</f>
        <v>S51</v>
      </c>
      <c r="P123" t="str">
        <f>TEXT(Semaine_1[[#This Row],[Date]],"MMMM")</f>
        <v>décembre</v>
      </c>
    </row>
    <row r="124" spans="1:16" x14ac:dyDescent="0.45">
      <c r="A124" s="8">
        <v>46010</v>
      </c>
      <c r="B124" s="9" t="s">
        <v>14</v>
      </c>
      <c r="C124" s="9" t="s">
        <v>15</v>
      </c>
      <c r="D124" s="9" t="s">
        <v>28</v>
      </c>
      <c r="E124" s="9" t="s">
        <v>76</v>
      </c>
      <c r="F124" s="9">
        <v>778195274</v>
      </c>
      <c r="G124" s="9" t="s">
        <v>16</v>
      </c>
      <c r="H124" s="9" t="s">
        <v>13</v>
      </c>
      <c r="I124" s="9" t="s">
        <v>17</v>
      </c>
      <c r="J124" s="10" t="s">
        <v>17</v>
      </c>
      <c r="K124" s="9" t="s">
        <v>72</v>
      </c>
      <c r="L124" s="9">
        <v>50</v>
      </c>
      <c r="M124" s="11">
        <v>26000</v>
      </c>
      <c r="N124" s="11">
        <v>1300000</v>
      </c>
      <c r="O124" s="7" t="str">
        <f>"S"&amp;_xlfn.ISOWEEKNUM(Semaine_1[[#This Row],[Date]])</f>
        <v>S51</v>
      </c>
      <c r="P124" t="str">
        <f>TEXT(Semaine_1[[#This Row],[Date]],"MMMM")</f>
        <v>décembre</v>
      </c>
    </row>
    <row r="125" spans="1:16" x14ac:dyDescent="0.45">
      <c r="A125" s="8">
        <v>46010</v>
      </c>
      <c r="B125" s="9" t="s">
        <v>14</v>
      </c>
      <c r="C125" s="9" t="s">
        <v>15</v>
      </c>
      <c r="D125" s="9" t="s">
        <v>28</v>
      </c>
      <c r="E125" s="9" t="s">
        <v>200</v>
      </c>
      <c r="F125" s="9">
        <v>776622000</v>
      </c>
      <c r="G125" s="9" t="s">
        <v>16</v>
      </c>
      <c r="H125" s="9" t="s">
        <v>13</v>
      </c>
      <c r="I125" s="9" t="s">
        <v>17</v>
      </c>
      <c r="J125" s="10" t="s">
        <v>17</v>
      </c>
      <c r="K125" s="9" t="s">
        <v>128</v>
      </c>
      <c r="L125" s="9">
        <v>25</v>
      </c>
      <c r="M125" s="11">
        <v>6000</v>
      </c>
      <c r="N125" s="11">
        <v>150000</v>
      </c>
      <c r="O125" s="7" t="str">
        <f>"S"&amp;_xlfn.ISOWEEKNUM(Semaine_1[[#This Row],[Date]])</f>
        <v>S51</v>
      </c>
      <c r="P125" t="str">
        <f>TEXT(Semaine_1[[#This Row],[Date]],"MMMM")</f>
        <v>décembre</v>
      </c>
    </row>
    <row r="126" spans="1:16" x14ac:dyDescent="0.45">
      <c r="A126" s="8">
        <v>46010</v>
      </c>
      <c r="B126" s="9" t="s">
        <v>14</v>
      </c>
      <c r="C126" s="9" t="s">
        <v>15</v>
      </c>
      <c r="D126" s="9" t="s">
        <v>28</v>
      </c>
      <c r="E126" s="9" t="s">
        <v>201</v>
      </c>
      <c r="F126" s="9">
        <v>778579191</v>
      </c>
      <c r="G126" s="9" t="s">
        <v>16</v>
      </c>
      <c r="H126" s="9" t="s">
        <v>13</v>
      </c>
      <c r="I126" s="9" t="s">
        <v>17</v>
      </c>
      <c r="J126" s="10" t="s">
        <v>17</v>
      </c>
      <c r="K126" s="9" t="s">
        <v>29</v>
      </c>
      <c r="L126" s="9">
        <v>25</v>
      </c>
      <c r="M126" s="11">
        <v>9750</v>
      </c>
      <c r="N126" s="11">
        <v>243750</v>
      </c>
      <c r="O126" s="7" t="str">
        <f>"S"&amp;_xlfn.ISOWEEKNUM(Semaine_1[[#This Row],[Date]])</f>
        <v>S51</v>
      </c>
      <c r="P126" t="str">
        <f>TEXT(Semaine_1[[#This Row],[Date]],"MMMM")</f>
        <v>décembre</v>
      </c>
    </row>
    <row r="127" spans="1:16" x14ac:dyDescent="0.45">
      <c r="A127" s="8">
        <v>46010</v>
      </c>
      <c r="B127" s="9" t="s">
        <v>14</v>
      </c>
      <c r="C127" s="9" t="s">
        <v>15</v>
      </c>
      <c r="D127" s="9" t="s">
        <v>202</v>
      </c>
      <c r="E127" s="9" t="s">
        <v>203</v>
      </c>
      <c r="F127" s="9">
        <v>775623289</v>
      </c>
      <c r="G127" s="9" t="s">
        <v>16</v>
      </c>
      <c r="H127" s="9" t="s">
        <v>13</v>
      </c>
      <c r="I127" s="9" t="s">
        <v>17</v>
      </c>
      <c r="J127" s="10" t="s">
        <v>17</v>
      </c>
      <c r="K127" s="9" t="s">
        <v>160</v>
      </c>
      <c r="L127" s="9">
        <v>5</v>
      </c>
      <c r="M127" s="11">
        <v>33500</v>
      </c>
      <c r="N127" s="11">
        <v>167500</v>
      </c>
      <c r="O127" s="7" t="str">
        <f>"S"&amp;_xlfn.ISOWEEKNUM(Semaine_1[[#This Row],[Date]])</f>
        <v>S51</v>
      </c>
      <c r="P127" t="str">
        <f>TEXT(Semaine_1[[#This Row],[Date]],"MMMM")</f>
        <v>décembre</v>
      </c>
    </row>
    <row r="128" spans="1:16" x14ac:dyDescent="0.45">
      <c r="A128" s="8">
        <v>46013</v>
      </c>
      <c r="B128" s="9" t="s">
        <v>14</v>
      </c>
      <c r="C128" s="9" t="s">
        <v>15</v>
      </c>
      <c r="D128" s="9" t="s">
        <v>139</v>
      </c>
      <c r="E128" s="9" t="s">
        <v>204</v>
      </c>
      <c r="F128" s="9">
        <v>778096419</v>
      </c>
      <c r="G128" s="9" t="s">
        <v>49</v>
      </c>
      <c r="H128" s="9" t="s">
        <v>13</v>
      </c>
      <c r="I128" s="9" t="s">
        <v>17</v>
      </c>
      <c r="J128" s="10" t="s">
        <v>17</v>
      </c>
      <c r="K128" s="9" t="s">
        <v>60</v>
      </c>
      <c r="L128" s="9">
        <v>50</v>
      </c>
      <c r="M128" s="11">
        <v>10500</v>
      </c>
      <c r="N128" s="11">
        <v>525000</v>
      </c>
      <c r="O128" s="7" t="str">
        <f>"S"&amp;_xlfn.ISOWEEKNUM(Semaine_1[[#This Row],[Date]])</f>
        <v>S52</v>
      </c>
      <c r="P128" t="str">
        <f>TEXT(Semaine_1[[#This Row],[Date]],"MMMM")</f>
        <v>décembre</v>
      </c>
    </row>
    <row r="129" spans="1:16" x14ac:dyDescent="0.45">
      <c r="A129" s="8">
        <v>46014</v>
      </c>
      <c r="B129" s="9" t="s">
        <v>22</v>
      </c>
      <c r="C129" s="9" t="s">
        <v>23</v>
      </c>
      <c r="D129" s="9" t="s">
        <v>40</v>
      </c>
      <c r="E129" s="9" t="s">
        <v>74</v>
      </c>
      <c r="F129" s="9">
        <v>774993694</v>
      </c>
      <c r="G129" s="9" t="s">
        <v>16</v>
      </c>
      <c r="H129" s="9" t="s">
        <v>13</v>
      </c>
      <c r="I129" s="9" t="s">
        <v>17</v>
      </c>
      <c r="J129" s="10" t="s">
        <v>95</v>
      </c>
      <c r="K129" s="9" t="s">
        <v>72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S52</v>
      </c>
      <c r="P129" t="str">
        <f>TEXT(Semaine_1[[#This Row],[Date]],"MMMM")</f>
        <v>décembre</v>
      </c>
    </row>
    <row r="130" spans="1:16" x14ac:dyDescent="0.45">
      <c r="A130" s="8">
        <v>46014</v>
      </c>
      <c r="B130" s="9" t="s">
        <v>34</v>
      </c>
      <c r="C130" s="9" t="s">
        <v>35</v>
      </c>
      <c r="D130" s="9" t="s">
        <v>80</v>
      </c>
      <c r="E130" s="9" t="s">
        <v>205</v>
      </c>
      <c r="F130" s="9">
        <v>783682649</v>
      </c>
      <c r="G130" s="9" t="s">
        <v>16</v>
      </c>
      <c r="H130" s="9" t="s">
        <v>13</v>
      </c>
      <c r="I130" s="9" t="s">
        <v>17</v>
      </c>
      <c r="J130" s="10" t="s">
        <v>39</v>
      </c>
      <c r="K130" s="9" t="s">
        <v>60</v>
      </c>
      <c r="L130" s="9">
        <v>25</v>
      </c>
      <c r="M130" s="11">
        <v>10500</v>
      </c>
      <c r="N130" s="11">
        <v>262500</v>
      </c>
      <c r="O130" s="7" t="str">
        <f>"S"&amp;_xlfn.ISOWEEKNUM(Semaine_1[[#This Row],[Date]])</f>
        <v>S52</v>
      </c>
      <c r="P130" t="str">
        <f>TEXT(Semaine_1[[#This Row],[Date]],"MMMM")</f>
        <v>décembre</v>
      </c>
    </row>
    <row r="131" spans="1:16" x14ac:dyDescent="0.45">
      <c r="A131" s="8">
        <v>46014</v>
      </c>
      <c r="B131" s="9" t="s">
        <v>22</v>
      </c>
      <c r="C131" s="9" t="s">
        <v>23</v>
      </c>
      <c r="D131" s="9" t="s">
        <v>63</v>
      </c>
      <c r="E131" s="9" t="s">
        <v>64</v>
      </c>
      <c r="F131" s="9">
        <v>775276149</v>
      </c>
      <c r="G131" s="9" t="s">
        <v>16</v>
      </c>
      <c r="H131" s="9" t="s">
        <v>13</v>
      </c>
      <c r="I131" s="9" t="s">
        <v>17</v>
      </c>
      <c r="J131" s="10" t="s">
        <v>95</v>
      </c>
      <c r="K131" s="9" t="s">
        <v>72</v>
      </c>
      <c r="L131" s="9">
        <v>25</v>
      </c>
      <c r="M131" s="11">
        <v>26000</v>
      </c>
      <c r="N131" s="11">
        <v>650000</v>
      </c>
      <c r="O131" s="7" t="str">
        <f>"S"&amp;_xlfn.ISOWEEKNUM(Semaine_1[[#This Row],[Date]])</f>
        <v>S52</v>
      </c>
      <c r="P131" t="str">
        <f>TEXT(Semaine_1[[#This Row],[Date]],"MMMM")</f>
        <v>décembre</v>
      </c>
    </row>
    <row r="132" spans="1:16" x14ac:dyDescent="0.45">
      <c r="A132" s="8">
        <v>46014</v>
      </c>
      <c r="B132" s="9" t="s">
        <v>34</v>
      </c>
      <c r="C132" s="9" t="s">
        <v>35</v>
      </c>
      <c r="D132" s="9" t="s">
        <v>80</v>
      </c>
      <c r="E132" s="9" t="s">
        <v>205</v>
      </c>
      <c r="F132" s="9">
        <v>783682649</v>
      </c>
      <c r="G132" s="9" t="s">
        <v>16</v>
      </c>
      <c r="H132" s="9" t="s">
        <v>13</v>
      </c>
      <c r="I132" s="9" t="s">
        <v>17</v>
      </c>
      <c r="J132" s="10" t="s">
        <v>39</v>
      </c>
      <c r="K132" s="9" t="s">
        <v>72</v>
      </c>
      <c r="L132" s="9">
        <v>25</v>
      </c>
      <c r="M132" s="11">
        <v>26000</v>
      </c>
      <c r="N132" s="11">
        <v>650000</v>
      </c>
      <c r="O132" s="7" t="str">
        <f>"S"&amp;_xlfn.ISOWEEKNUM(Semaine_1[[#This Row],[Date]])</f>
        <v>S52</v>
      </c>
      <c r="P132" t="str">
        <f>TEXT(Semaine_1[[#This Row],[Date]],"MMMM")</f>
        <v>décembre</v>
      </c>
    </row>
    <row r="133" spans="1:16" x14ac:dyDescent="0.45">
      <c r="A133" s="8">
        <v>46014</v>
      </c>
      <c r="B133" s="9" t="s">
        <v>34</v>
      </c>
      <c r="C133" s="9" t="s">
        <v>35</v>
      </c>
      <c r="D133" s="9" t="s">
        <v>80</v>
      </c>
      <c r="E133" s="9" t="s">
        <v>206</v>
      </c>
      <c r="F133" s="9">
        <v>776175166</v>
      </c>
      <c r="G133" s="9" t="s">
        <v>16</v>
      </c>
      <c r="H133" s="9" t="s">
        <v>13</v>
      </c>
      <c r="I133" s="9" t="s">
        <v>17</v>
      </c>
      <c r="J133" s="10" t="s">
        <v>39</v>
      </c>
      <c r="K133" s="9" t="s">
        <v>72</v>
      </c>
      <c r="L133" s="9">
        <v>100</v>
      </c>
      <c r="M133" s="11">
        <v>26000</v>
      </c>
      <c r="N133" s="11">
        <v>2600000</v>
      </c>
      <c r="O133" s="7" t="str">
        <f>"S"&amp;_xlfn.ISOWEEKNUM(Semaine_1[[#This Row],[Date]])</f>
        <v>S52</v>
      </c>
      <c r="P133" t="str">
        <f>TEXT(Semaine_1[[#This Row],[Date]],"MMMM")</f>
        <v>décembre</v>
      </c>
    </row>
    <row r="134" spans="1:16" x14ac:dyDescent="0.45">
      <c r="A134" s="8">
        <v>46017</v>
      </c>
      <c r="B134" s="9" t="s">
        <v>88</v>
      </c>
      <c r="C134" s="9" t="s">
        <v>89</v>
      </c>
      <c r="D134" s="9" t="s">
        <v>115</v>
      </c>
      <c r="E134" s="9" t="s">
        <v>116</v>
      </c>
      <c r="F134" s="9">
        <v>784537895</v>
      </c>
      <c r="G134" s="9" t="s">
        <v>16</v>
      </c>
      <c r="H134" s="9" t="s">
        <v>13</v>
      </c>
      <c r="I134" s="9" t="s">
        <v>17</v>
      </c>
      <c r="J134" s="10" t="s">
        <v>21</v>
      </c>
      <c r="K134" s="9" t="s">
        <v>29</v>
      </c>
      <c r="L134" s="9">
        <v>25</v>
      </c>
      <c r="M134" s="11">
        <v>9750</v>
      </c>
      <c r="N134" s="11">
        <v>243750</v>
      </c>
      <c r="O134" s="7" t="str">
        <f>"S"&amp;_xlfn.ISOWEEKNUM(Semaine_1[[#This Row],[Date]])</f>
        <v>S52</v>
      </c>
      <c r="P134" t="str">
        <f>TEXT(Semaine_1[[#This Row],[Date]],"MMMM")</f>
        <v>décembre</v>
      </c>
    </row>
    <row r="135" spans="1:16" x14ac:dyDescent="0.45">
      <c r="A135" s="8">
        <v>46017</v>
      </c>
      <c r="B135" s="9" t="s">
        <v>88</v>
      </c>
      <c r="C135" s="9" t="s">
        <v>89</v>
      </c>
      <c r="D135" s="9" t="s">
        <v>115</v>
      </c>
      <c r="E135" s="9" t="s">
        <v>116</v>
      </c>
      <c r="F135" s="9">
        <v>784537895</v>
      </c>
      <c r="G135" s="9" t="s">
        <v>16</v>
      </c>
      <c r="H135" s="9" t="s">
        <v>13</v>
      </c>
      <c r="I135" s="9" t="s">
        <v>17</v>
      </c>
      <c r="J135" s="10" t="s">
        <v>21</v>
      </c>
      <c r="K135" s="9" t="s">
        <v>72</v>
      </c>
      <c r="L135" s="9">
        <v>25</v>
      </c>
      <c r="M135" s="11">
        <v>26000</v>
      </c>
      <c r="N135" s="11">
        <v>650000</v>
      </c>
      <c r="O135" s="7" t="str">
        <f>"S"&amp;_xlfn.ISOWEEKNUM(Semaine_1[[#This Row],[Date]])</f>
        <v>S52</v>
      </c>
      <c r="P135" t="str">
        <f>TEXT(Semaine_1[[#This Row],[Date]],"MMMM")</f>
        <v>décembre</v>
      </c>
    </row>
    <row r="136" spans="1:16" x14ac:dyDescent="0.45">
      <c r="A136" s="8">
        <v>46016</v>
      </c>
      <c r="B136" s="9" t="s">
        <v>45</v>
      </c>
      <c r="C136" s="9" t="s">
        <v>46</v>
      </c>
      <c r="D136" s="9" t="s">
        <v>47</v>
      </c>
      <c r="E136" s="9" t="s">
        <v>207</v>
      </c>
      <c r="F136" s="9">
        <v>774161282</v>
      </c>
      <c r="G136" s="9" t="s">
        <v>16</v>
      </c>
      <c r="H136" s="9" t="s">
        <v>13</v>
      </c>
      <c r="I136" s="9" t="s">
        <v>17</v>
      </c>
      <c r="J136" s="10" t="s">
        <v>21</v>
      </c>
      <c r="K136" s="9" t="s">
        <v>141</v>
      </c>
      <c r="L136" s="9">
        <v>1</v>
      </c>
      <c r="M136" s="11">
        <v>33500</v>
      </c>
      <c r="N136" s="11">
        <v>33500</v>
      </c>
      <c r="O136" s="7" t="str">
        <f>"S"&amp;_xlfn.ISOWEEKNUM(Semaine_1[[#This Row],[Date]])</f>
        <v>S52</v>
      </c>
      <c r="P136" t="str">
        <f>TEXT(Semaine_1[[#This Row],[Date]],"MMMM")</f>
        <v>décembre</v>
      </c>
    </row>
    <row r="137" spans="1:16" x14ac:dyDescent="0.45">
      <c r="A137" s="8">
        <v>46016</v>
      </c>
      <c r="B137" s="9" t="s">
        <v>45</v>
      </c>
      <c r="C137" s="9" t="s">
        <v>46</v>
      </c>
      <c r="D137" s="9" t="s">
        <v>47</v>
      </c>
      <c r="E137" s="9" t="s">
        <v>207</v>
      </c>
      <c r="F137" s="9">
        <v>774161282</v>
      </c>
      <c r="G137" s="9" t="s">
        <v>16</v>
      </c>
      <c r="H137" s="9" t="s">
        <v>13</v>
      </c>
      <c r="I137" s="9" t="s">
        <v>17</v>
      </c>
      <c r="J137" s="10" t="s">
        <v>21</v>
      </c>
      <c r="K137" s="9" t="s">
        <v>29</v>
      </c>
      <c r="L137" s="9">
        <v>2</v>
      </c>
      <c r="M137" s="11">
        <v>9750</v>
      </c>
      <c r="N137" s="11">
        <v>19500</v>
      </c>
      <c r="O137" s="7" t="str">
        <f>"S"&amp;_xlfn.ISOWEEKNUM(Semaine_1[[#This Row],[Date]])</f>
        <v>S52</v>
      </c>
      <c r="P137" t="str">
        <f>TEXT(Semaine_1[[#This Row],[Date]],"MMMM")</f>
        <v>décembre</v>
      </c>
    </row>
    <row r="138" spans="1:16" x14ac:dyDescent="0.45">
      <c r="A138" s="8">
        <v>46016</v>
      </c>
      <c r="B138" s="9" t="s">
        <v>45</v>
      </c>
      <c r="C138" s="9" t="s">
        <v>46</v>
      </c>
      <c r="D138" s="9" t="s">
        <v>47</v>
      </c>
      <c r="E138" s="9" t="s">
        <v>207</v>
      </c>
      <c r="F138" s="9">
        <v>774161282</v>
      </c>
      <c r="G138" s="9" t="s">
        <v>16</v>
      </c>
      <c r="H138" s="9" t="s">
        <v>13</v>
      </c>
      <c r="I138" s="9" t="s">
        <v>17</v>
      </c>
      <c r="J138" s="10" t="s">
        <v>21</v>
      </c>
      <c r="K138" s="9" t="s">
        <v>72</v>
      </c>
      <c r="L138" s="9">
        <v>26</v>
      </c>
      <c r="M138" s="11">
        <v>26000</v>
      </c>
      <c r="N138" s="11">
        <v>676000</v>
      </c>
      <c r="O138" s="7" t="str">
        <f>"S"&amp;_xlfn.ISOWEEKNUM(Semaine_1[[#This Row],[Date]])</f>
        <v>S52</v>
      </c>
      <c r="P138" t="str">
        <f>TEXT(Semaine_1[[#This Row],[Date]],"MMMM")</f>
        <v>décembre</v>
      </c>
    </row>
    <row r="139" spans="1:16" x14ac:dyDescent="0.45">
      <c r="A139" s="8">
        <v>46015</v>
      </c>
      <c r="B139" s="9" t="s">
        <v>24</v>
      </c>
      <c r="C139" s="9" t="s">
        <v>25</v>
      </c>
      <c r="D139" s="9" t="s">
        <v>26</v>
      </c>
      <c r="E139" s="9" t="s">
        <v>208</v>
      </c>
      <c r="F139" s="9">
        <v>779417886</v>
      </c>
      <c r="G139" s="9" t="s">
        <v>16</v>
      </c>
      <c r="H139" s="9" t="s">
        <v>13</v>
      </c>
      <c r="I139" s="9" t="s">
        <v>17</v>
      </c>
      <c r="J139" s="10" t="s">
        <v>27</v>
      </c>
      <c r="K139" s="9" t="s">
        <v>72</v>
      </c>
      <c r="L139" s="9">
        <v>10</v>
      </c>
      <c r="M139" s="11">
        <v>26000</v>
      </c>
      <c r="N139" s="11">
        <v>260000</v>
      </c>
      <c r="O139" s="7" t="str">
        <f>"S"&amp;_xlfn.ISOWEEKNUM(Semaine_1[[#This Row],[Date]])</f>
        <v>S52</v>
      </c>
      <c r="P139" t="str">
        <f>TEXT(Semaine_1[[#This Row],[Date]],"MMMM")</f>
        <v>décembre</v>
      </c>
    </row>
    <row r="140" spans="1:16" x14ac:dyDescent="0.45">
      <c r="A140" s="8">
        <v>46018</v>
      </c>
      <c r="B140" s="9" t="s">
        <v>51</v>
      </c>
      <c r="C140" s="9" t="s">
        <v>52</v>
      </c>
      <c r="D140" s="9" t="s">
        <v>61</v>
      </c>
      <c r="E140" s="9" t="s">
        <v>152</v>
      </c>
      <c r="F140" s="9">
        <v>776367168</v>
      </c>
      <c r="G140" s="9" t="s">
        <v>16</v>
      </c>
      <c r="H140" s="9" t="s">
        <v>13</v>
      </c>
      <c r="I140" s="9" t="s">
        <v>17</v>
      </c>
      <c r="J140" s="10" t="s">
        <v>209</v>
      </c>
      <c r="K140" s="9" t="s">
        <v>72</v>
      </c>
      <c r="L140" s="9">
        <v>25</v>
      </c>
      <c r="M140" s="11">
        <v>26000</v>
      </c>
      <c r="N140" s="11">
        <v>650000</v>
      </c>
      <c r="O140" s="7" t="str">
        <f>"S"&amp;_xlfn.ISOWEEKNUM(Semaine_1[[#This Row],[Date]])</f>
        <v>S52</v>
      </c>
      <c r="P140" t="str">
        <f>TEXT(Semaine_1[[#This Row],[Date]],"MMMM")</f>
        <v>décembre</v>
      </c>
    </row>
    <row r="141" spans="1:16" x14ac:dyDescent="0.45">
      <c r="A141" s="12">
        <v>46022</v>
      </c>
      <c r="B141" s="13" t="s">
        <v>88</v>
      </c>
      <c r="C141" s="13" t="s">
        <v>89</v>
      </c>
      <c r="D141" s="13" t="s">
        <v>143</v>
      </c>
      <c r="E141" s="13" t="s">
        <v>144</v>
      </c>
      <c r="F141" s="13">
        <v>771952687</v>
      </c>
      <c r="G141" s="13" t="s">
        <v>16</v>
      </c>
      <c r="H141" s="13" t="s">
        <v>13</v>
      </c>
      <c r="I141" s="13" t="s">
        <v>17</v>
      </c>
      <c r="J141" s="14" t="s">
        <v>21</v>
      </c>
      <c r="K141" s="13" t="s">
        <v>72</v>
      </c>
      <c r="L141" s="13">
        <v>50</v>
      </c>
      <c r="M141" s="15">
        <v>26000</v>
      </c>
      <c r="N141" s="15">
        <v>1300000</v>
      </c>
      <c r="O141" s="16" t="str">
        <f>"S"&amp;_xlfn.ISOWEEKNUM(Semaine_1[[#This Row],[Date]])+52</f>
        <v>S53</v>
      </c>
      <c r="P141" s="17" t="str">
        <f>TEXT(Semaine_1[[#This Row],[Date]],"MMMM")</f>
        <v>décembre</v>
      </c>
    </row>
    <row r="142" spans="1:16" x14ac:dyDescent="0.45">
      <c r="A142" s="12">
        <v>46022</v>
      </c>
      <c r="B142" s="13" t="s">
        <v>88</v>
      </c>
      <c r="C142" s="13" t="s">
        <v>89</v>
      </c>
      <c r="D142" s="13" t="s">
        <v>143</v>
      </c>
      <c r="E142" s="13" t="s">
        <v>162</v>
      </c>
      <c r="F142" s="13">
        <v>775171537</v>
      </c>
      <c r="G142" s="13" t="s">
        <v>16</v>
      </c>
      <c r="H142" s="13" t="s">
        <v>13</v>
      </c>
      <c r="I142" s="13" t="s">
        <v>17</v>
      </c>
      <c r="J142" s="14" t="s">
        <v>21</v>
      </c>
      <c r="K142" s="13" t="s">
        <v>72</v>
      </c>
      <c r="L142" s="13">
        <v>25</v>
      </c>
      <c r="M142" s="15">
        <v>26000</v>
      </c>
      <c r="N142" s="15">
        <v>650000</v>
      </c>
      <c r="O142" s="16" t="str">
        <f>"S"&amp;_xlfn.ISOWEEKNUM(Semaine_1[[#This Row],[Date]])+52</f>
        <v>S53</v>
      </c>
      <c r="P142" s="17" t="str">
        <f>TEXT(Semaine_1[[#This Row],[Date]],"MMMM")</f>
        <v>décembre</v>
      </c>
    </row>
    <row r="143" spans="1:16" x14ac:dyDescent="0.45">
      <c r="A143" s="12">
        <v>46020</v>
      </c>
      <c r="B143" s="13" t="s">
        <v>51</v>
      </c>
      <c r="C143" s="13" t="s">
        <v>52</v>
      </c>
      <c r="D143" s="13" t="s">
        <v>133</v>
      </c>
      <c r="E143" s="13" t="s">
        <v>210</v>
      </c>
      <c r="F143" s="13">
        <v>781466046</v>
      </c>
      <c r="G143" s="13" t="s">
        <v>16</v>
      </c>
      <c r="H143" s="13" t="s">
        <v>36</v>
      </c>
      <c r="I143" s="13" t="s">
        <v>17</v>
      </c>
      <c r="J143" s="14" t="s">
        <v>58</v>
      </c>
      <c r="K143" s="13" t="s">
        <v>194</v>
      </c>
      <c r="L143" s="13">
        <v>5</v>
      </c>
      <c r="M143" s="15">
        <v>54000</v>
      </c>
      <c r="N143" s="15">
        <v>270000</v>
      </c>
      <c r="O143" s="16" t="str">
        <f>"S"&amp;_xlfn.ISOWEEKNUM(Semaine_1[[#This Row],[Date]])+52</f>
        <v>S53</v>
      </c>
      <c r="P143" s="17" t="str">
        <f>TEXT(Semaine_1[[#This Row],[Date]],"MMMM")</f>
        <v>décembre</v>
      </c>
    </row>
    <row r="144" spans="1:16" x14ac:dyDescent="0.45">
      <c r="A144" s="12">
        <v>46020</v>
      </c>
      <c r="B144" s="13" t="s">
        <v>51</v>
      </c>
      <c r="C144" s="13" t="s">
        <v>52</v>
      </c>
      <c r="D144" s="13" t="s">
        <v>98</v>
      </c>
      <c r="E144" s="13" t="s">
        <v>211</v>
      </c>
      <c r="F144" s="13">
        <v>775894235</v>
      </c>
      <c r="G144" s="13" t="s">
        <v>16</v>
      </c>
      <c r="H144" s="13" t="s">
        <v>13</v>
      </c>
      <c r="I144" s="13" t="s">
        <v>17</v>
      </c>
      <c r="J144" s="14" t="s">
        <v>58</v>
      </c>
      <c r="K144" s="13" t="s">
        <v>194</v>
      </c>
      <c r="L144" s="13">
        <v>1</v>
      </c>
      <c r="M144" s="15">
        <v>54000</v>
      </c>
      <c r="N144" s="15">
        <v>54000</v>
      </c>
      <c r="O144" s="16" t="str">
        <f>"S"&amp;_xlfn.ISOWEEKNUM(Semaine_1[[#This Row],[Date]])+52</f>
        <v>S53</v>
      </c>
      <c r="P144" s="17" t="str">
        <f>TEXT(Semaine_1[[#This Row],[Date]],"MMMM")</f>
        <v>décembre</v>
      </c>
    </row>
    <row r="145" spans="1:16" x14ac:dyDescent="0.45">
      <c r="A145" s="12">
        <v>46020</v>
      </c>
      <c r="B145" s="13" t="s">
        <v>14</v>
      </c>
      <c r="C145" s="13" t="s">
        <v>15</v>
      </c>
      <c r="D145" s="13" t="s">
        <v>28</v>
      </c>
      <c r="E145" s="13" t="s">
        <v>200</v>
      </c>
      <c r="F145" s="13">
        <v>776622000</v>
      </c>
      <c r="G145" s="13" t="s">
        <v>16</v>
      </c>
      <c r="H145" s="13" t="s">
        <v>13</v>
      </c>
      <c r="I145" s="13" t="s">
        <v>17</v>
      </c>
      <c r="J145" s="14" t="s">
        <v>17</v>
      </c>
      <c r="K145" s="13" t="s">
        <v>128</v>
      </c>
      <c r="L145" s="13">
        <v>50</v>
      </c>
      <c r="M145" s="15">
        <v>6000</v>
      </c>
      <c r="N145" s="15">
        <v>300000</v>
      </c>
      <c r="O145" s="16" t="str">
        <f>"S"&amp;_xlfn.ISOWEEKNUM(Semaine_1[[#This Row],[Date]])+52</f>
        <v>S53</v>
      </c>
      <c r="P145" s="17" t="str">
        <f>TEXT(Semaine_1[[#This Row],[Date]],"MMMM")</f>
        <v>décembre</v>
      </c>
    </row>
    <row r="146" spans="1:16" x14ac:dyDescent="0.45">
      <c r="A146" s="12">
        <v>46020</v>
      </c>
      <c r="B146" s="13" t="s">
        <v>14</v>
      </c>
      <c r="C146" s="13" t="s">
        <v>15</v>
      </c>
      <c r="D146" s="13" t="s">
        <v>28</v>
      </c>
      <c r="E146" s="13" t="s">
        <v>212</v>
      </c>
      <c r="F146" s="13">
        <v>764970202</v>
      </c>
      <c r="G146" s="13" t="s">
        <v>16</v>
      </c>
      <c r="H146" s="13" t="s">
        <v>13</v>
      </c>
      <c r="I146" s="13" t="s">
        <v>17</v>
      </c>
      <c r="J146" s="14" t="s">
        <v>17</v>
      </c>
      <c r="K146" s="13" t="s">
        <v>31</v>
      </c>
      <c r="L146" s="13">
        <v>50</v>
      </c>
      <c r="M146" s="15">
        <v>15500</v>
      </c>
      <c r="N146" s="15">
        <v>775000</v>
      </c>
      <c r="O146" s="16" t="str">
        <f>"S"&amp;_xlfn.ISOWEEKNUM(Semaine_1[[#This Row],[Date]])+52</f>
        <v>S53</v>
      </c>
      <c r="P146" s="17" t="str">
        <f>TEXT(Semaine_1[[#This Row],[Date]],"MMMM")</f>
        <v>décembre</v>
      </c>
    </row>
    <row r="147" spans="1:16" x14ac:dyDescent="0.45">
      <c r="A147" s="12">
        <v>46020</v>
      </c>
      <c r="B147" s="13" t="s">
        <v>14</v>
      </c>
      <c r="C147" s="13" t="s">
        <v>15</v>
      </c>
      <c r="D147" s="13" t="s">
        <v>213</v>
      </c>
      <c r="E147" s="13" t="s">
        <v>214</v>
      </c>
      <c r="F147" s="13">
        <v>775727129</v>
      </c>
      <c r="G147" s="13" t="s">
        <v>16</v>
      </c>
      <c r="H147" s="13" t="s">
        <v>13</v>
      </c>
      <c r="I147" s="13" t="s">
        <v>17</v>
      </c>
      <c r="J147" s="14" t="s">
        <v>17</v>
      </c>
      <c r="K147" s="13" t="s">
        <v>60</v>
      </c>
      <c r="L147" s="13">
        <v>50</v>
      </c>
      <c r="M147" s="15">
        <v>10500</v>
      </c>
      <c r="N147" s="15">
        <v>525000</v>
      </c>
      <c r="O147" s="16" t="str">
        <f>"S"&amp;_xlfn.ISOWEEKNUM(Semaine_1[[#This Row],[Date]])+52</f>
        <v>S53</v>
      </c>
      <c r="P147" s="17" t="str">
        <f>TEXT(Semaine_1[[#This Row],[Date]],"MMMM")</f>
        <v>décembre</v>
      </c>
    </row>
    <row r="148" spans="1:16" x14ac:dyDescent="0.45">
      <c r="A148" s="12">
        <v>46020</v>
      </c>
      <c r="B148" s="13" t="s">
        <v>24</v>
      </c>
      <c r="C148" s="13" t="s">
        <v>25</v>
      </c>
      <c r="D148" s="13" t="s">
        <v>33</v>
      </c>
      <c r="E148" s="13" t="s">
        <v>187</v>
      </c>
      <c r="F148" s="13">
        <v>770242093</v>
      </c>
      <c r="G148" s="13" t="s">
        <v>16</v>
      </c>
      <c r="H148" s="13" t="s">
        <v>13</v>
      </c>
      <c r="I148" s="13" t="s">
        <v>17</v>
      </c>
      <c r="J148" s="14" t="s">
        <v>27</v>
      </c>
      <c r="K148" s="13" t="s">
        <v>72</v>
      </c>
      <c r="L148" s="13">
        <v>10</v>
      </c>
      <c r="M148" s="15">
        <v>26000</v>
      </c>
      <c r="N148" s="15">
        <v>260000</v>
      </c>
      <c r="O148" s="16" t="str">
        <f>"S"&amp;_xlfn.ISOWEEKNUM(Semaine_1[[#This Row],[Date]])+52</f>
        <v>S53</v>
      </c>
      <c r="P148" s="17" t="str">
        <f>TEXT(Semaine_1[[#This Row],[Date]],"MMMM")</f>
        <v>décembre</v>
      </c>
    </row>
    <row r="149" spans="1:16" x14ac:dyDescent="0.45">
      <c r="A149" s="12">
        <v>46020</v>
      </c>
      <c r="B149" s="13" t="s">
        <v>24</v>
      </c>
      <c r="C149" s="13" t="s">
        <v>25</v>
      </c>
      <c r="D149" s="13" t="s">
        <v>33</v>
      </c>
      <c r="E149" s="13" t="s">
        <v>190</v>
      </c>
      <c r="F149" s="13">
        <v>774216339</v>
      </c>
      <c r="G149" s="13" t="s">
        <v>16</v>
      </c>
      <c r="H149" s="13" t="s">
        <v>13</v>
      </c>
      <c r="I149" s="13" t="s">
        <v>17</v>
      </c>
      <c r="J149" s="14" t="s">
        <v>27</v>
      </c>
      <c r="K149" s="13" t="s">
        <v>29</v>
      </c>
      <c r="L149" s="13">
        <v>25</v>
      </c>
      <c r="M149" s="15">
        <v>9750</v>
      </c>
      <c r="N149" s="15">
        <v>243750</v>
      </c>
      <c r="O149" s="16" t="str">
        <f>"S"&amp;_xlfn.ISOWEEKNUM(Semaine_1[[#This Row],[Date]])+52</f>
        <v>S53</v>
      </c>
      <c r="P149" s="17" t="str">
        <f>TEXT(Semaine_1[[#This Row],[Date]],"MMMM")</f>
        <v>décembre</v>
      </c>
    </row>
    <row r="150" spans="1:16" x14ac:dyDescent="0.45">
      <c r="A150" s="12">
        <v>46020</v>
      </c>
      <c r="B150" s="13" t="s">
        <v>24</v>
      </c>
      <c r="C150" s="13" t="s">
        <v>25</v>
      </c>
      <c r="D150" s="13" t="s">
        <v>215</v>
      </c>
      <c r="E150" s="13" t="s">
        <v>216</v>
      </c>
      <c r="F150" s="13">
        <v>763469670</v>
      </c>
      <c r="G150" s="13" t="s">
        <v>16</v>
      </c>
      <c r="H150" s="13" t="s">
        <v>13</v>
      </c>
      <c r="I150" s="13" t="s">
        <v>17</v>
      </c>
      <c r="J150" s="14" t="s">
        <v>27</v>
      </c>
      <c r="K150" s="13" t="s">
        <v>72</v>
      </c>
      <c r="L150" s="13">
        <v>100</v>
      </c>
      <c r="M150" s="15">
        <v>26000</v>
      </c>
      <c r="N150" s="15">
        <v>2600000</v>
      </c>
      <c r="O150" s="16" t="str">
        <f>"S"&amp;_xlfn.ISOWEEKNUM(Semaine_1[[#This Row],[Date]])+52</f>
        <v>S53</v>
      </c>
      <c r="P150" s="17" t="str">
        <f>TEXT(Semaine_1[[#This Row],[Date]],"MMMM")</f>
        <v>décembre</v>
      </c>
    </row>
    <row r="151" spans="1:16" x14ac:dyDescent="0.45">
      <c r="A151" s="12">
        <v>46020</v>
      </c>
      <c r="B151" s="13" t="s">
        <v>24</v>
      </c>
      <c r="C151" s="13" t="s">
        <v>25</v>
      </c>
      <c r="D151" s="13" t="s">
        <v>33</v>
      </c>
      <c r="E151" s="13" t="s">
        <v>217</v>
      </c>
      <c r="F151" s="13">
        <v>777748618</v>
      </c>
      <c r="G151" s="13" t="s">
        <v>16</v>
      </c>
      <c r="H151" s="13" t="s">
        <v>13</v>
      </c>
      <c r="I151" s="13" t="s">
        <v>17</v>
      </c>
      <c r="J151" s="14" t="s">
        <v>27</v>
      </c>
      <c r="K151" s="13" t="s">
        <v>31</v>
      </c>
      <c r="L151" s="13">
        <v>1</v>
      </c>
      <c r="M151" s="15">
        <v>15500</v>
      </c>
      <c r="N151" s="15">
        <v>15500</v>
      </c>
      <c r="O151" s="16" t="str">
        <f>"S"&amp;_xlfn.ISOWEEKNUM(Semaine_1[[#This Row],[Date]])+52</f>
        <v>S53</v>
      </c>
      <c r="P151" s="17" t="str">
        <f>TEXT(Semaine_1[[#This Row],[Date]],"MMMM")</f>
        <v>décembre</v>
      </c>
    </row>
    <row r="152" spans="1:16" x14ac:dyDescent="0.45">
      <c r="A152" s="12">
        <v>46020</v>
      </c>
      <c r="B152" s="13" t="s">
        <v>179</v>
      </c>
      <c r="C152" s="13" t="s">
        <v>35</v>
      </c>
      <c r="D152" s="13" t="s">
        <v>218</v>
      </c>
      <c r="E152" s="13" t="s">
        <v>219</v>
      </c>
      <c r="F152" s="13">
        <v>761883930</v>
      </c>
      <c r="G152" s="13" t="s">
        <v>182</v>
      </c>
      <c r="H152" s="13" t="s">
        <v>13</v>
      </c>
      <c r="I152" s="13" t="s">
        <v>17</v>
      </c>
      <c r="J152" s="14" t="s">
        <v>220</v>
      </c>
      <c r="K152" s="13" t="s">
        <v>141</v>
      </c>
      <c r="L152" s="13">
        <v>1</v>
      </c>
      <c r="M152" s="15">
        <v>33500</v>
      </c>
      <c r="N152" s="15">
        <v>33500</v>
      </c>
      <c r="O152" s="16" t="str">
        <f>"S"&amp;_xlfn.ISOWEEKNUM(Semaine_1[[#This Row],[Date]])+52</f>
        <v>S53</v>
      </c>
      <c r="P152" s="17" t="str">
        <f>TEXT(Semaine_1[[#This Row],[Date]],"MMMM")</f>
        <v>décembre</v>
      </c>
    </row>
    <row r="153" spans="1:16" x14ac:dyDescent="0.45">
      <c r="A153" s="12">
        <v>46020</v>
      </c>
      <c r="B153" s="13" t="s">
        <v>179</v>
      </c>
      <c r="C153" s="13" t="s">
        <v>35</v>
      </c>
      <c r="D153" s="13" t="s">
        <v>218</v>
      </c>
      <c r="E153" s="13" t="s">
        <v>219</v>
      </c>
      <c r="F153" s="13">
        <v>761883930</v>
      </c>
      <c r="G153" s="13" t="s">
        <v>182</v>
      </c>
      <c r="H153" s="13" t="s">
        <v>13</v>
      </c>
      <c r="I153" s="13" t="s">
        <v>17</v>
      </c>
      <c r="J153" s="14" t="s">
        <v>220</v>
      </c>
      <c r="K153" s="13" t="s">
        <v>160</v>
      </c>
      <c r="L153" s="13">
        <v>2</v>
      </c>
      <c r="M153" s="15">
        <v>33500</v>
      </c>
      <c r="N153" s="15">
        <v>67000</v>
      </c>
      <c r="O153" s="16" t="str">
        <f>"S"&amp;_xlfn.ISOWEEKNUM(Semaine_1[[#This Row],[Date]])+52</f>
        <v>S53</v>
      </c>
      <c r="P153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2026-01-01T15:23:39Z</dcterms:modified>
</cp:coreProperties>
</file>