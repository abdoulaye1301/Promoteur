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8F21E8A9-8B2B-46A9-B791-0ECF88833503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4" i="2" l="1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210" i="2"/>
  <c r="O211" i="2"/>
  <c r="P210" i="2"/>
  <c r="P211" i="2"/>
  <c r="O208" i="2"/>
  <c r="O209" i="2"/>
  <c r="P208" i="2"/>
  <c r="P209" i="2"/>
  <c r="O207" i="2"/>
  <c r="P207" i="2"/>
  <c r="O206" i="2"/>
  <c r="P206" i="2"/>
  <c r="O203" i="2"/>
  <c r="O204" i="2"/>
  <c r="O205" i="2"/>
  <c r="P203" i="2"/>
  <c r="P204" i="2"/>
  <c r="P205" i="2"/>
  <c r="O202" i="2"/>
  <c r="P202" i="2"/>
  <c r="O201" i="2"/>
  <c r="P201" i="2"/>
  <c r="O200" i="2"/>
  <c r="P200" i="2"/>
  <c r="O199" i="2"/>
  <c r="P199" i="2"/>
  <c r="O198" i="2"/>
  <c r="P198" i="2"/>
  <c r="O196" i="2"/>
  <c r="O197" i="2"/>
  <c r="P196" i="2"/>
  <c r="P197" i="2"/>
  <c r="O195" i="2"/>
  <c r="P195" i="2"/>
  <c r="P194" i="2"/>
  <c r="P193" i="2"/>
  <c r="P192" i="2"/>
  <c r="P191" i="2"/>
  <c r="P190" i="2"/>
  <c r="P186" i="2"/>
  <c r="P187" i="2"/>
  <c r="P188" i="2"/>
  <c r="P189" i="2"/>
  <c r="P181" i="2"/>
  <c r="P182" i="2"/>
  <c r="P183" i="2"/>
  <c r="P184" i="2"/>
  <c r="P185" i="2"/>
  <c r="P180" i="2"/>
  <c r="O179" i="2"/>
  <c r="P179" i="2"/>
  <c r="O177" i="2"/>
  <c r="O178" i="2"/>
  <c r="P177" i="2"/>
  <c r="P178" i="2"/>
  <c r="O176" i="2"/>
  <c r="P176" i="2"/>
  <c r="O175" i="2"/>
  <c r="P175" i="2"/>
  <c r="O173" i="2"/>
  <c r="O174" i="2"/>
  <c r="P173" i="2"/>
  <c r="P174" i="2"/>
  <c r="O172" i="2"/>
  <c r="P172" i="2"/>
  <c r="O166" i="2"/>
  <c r="O167" i="2"/>
  <c r="O168" i="2"/>
  <c r="O169" i="2"/>
  <c r="O170" i="2"/>
  <c r="O171" i="2"/>
  <c r="P166" i="2"/>
  <c r="P167" i="2"/>
  <c r="P168" i="2"/>
  <c r="P169" i="2"/>
  <c r="P170" i="2"/>
  <c r="P171" i="2"/>
  <c r="O165" i="2"/>
  <c r="P165" i="2"/>
  <c r="O164" i="2"/>
  <c r="P164" i="2"/>
  <c r="O163" i="2"/>
  <c r="P163" i="2"/>
  <c r="O162" i="2"/>
  <c r="P162" i="2"/>
  <c r="O158" i="2"/>
  <c r="O159" i="2"/>
  <c r="O160" i="2"/>
  <c r="O161" i="2"/>
  <c r="P158" i="2"/>
  <c r="P159" i="2"/>
  <c r="P160" i="2"/>
  <c r="P161" i="2"/>
  <c r="O156" i="2"/>
  <c r="O157" i="2"/>
  <c r="P156" i="2"/>
  <c r="P157" i="2"/>
  <c r="O155" i="2"/>
  <c r="P155" i="2"/>
  <c r="O154" i="2"/>
  <c r="P154" i="2"/>
  <c r="O153" i="2"/>
  <c r="P153" i="2"/>
  <c r="O152" i="2"/>
  <c r="P152" i="2"/>
  <c r="O146" i="2"/>
  <c r="O147" i="2"/>
  <c r="O148" i="2"/>
  <c r="O149" i="2"/>
  <c r="O150" i="2"/>
  <c r="O151" i="2"/>
  <c r="P146" i="2"/>
  <c r="P147" i="2"/>
  <c r="P148" i="2"/>
  <c r="P149" i="2"/>
  <c r="P150" i="2"/>
  <c r="P151" i="2"/>
  <c r="O145" i="2"/>
  <c r="P145" i="2"/>
  <c r="O144" i="2"/>
  <c r="P144" i="2"/>
  <c r="O143" i="2"/>
  <c r="P143" i="2"/>
  <c r="O141" i="2"/>
  <c r="O142" i="2"/>
  <c r="P141" i="2"/>
  <c r="P142" i="2"/>
  <c r="O140" i="2"/>
  <c r="P140" i="2"/>
  <c r="O139" i="2"/>
  <c r="P139" i="2"/>
  <c r="O138" i="2"/>
  <c r="P138" i="2"/>
  <c r="O137" i="2"/>
  <c r="P13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P134" i="2"/>
  <c r="P135" i="2"/>
  <c r="P136" i="2"/>
  <c r="P133" i="2"/>
  <c r="P130" i="2"/>
  <c r="P131" i="2"/>
  <c r="P132" i="2"/>
  <c r="P128" i="2"/>
  <c r="P129" i="2"/>
  <c r="P124" i="2"/>
  <c r="P125" i="2"/>
  <c r="P126" i="2"/>
  <c r="P127" i="2"/>
  <c r="P123" i="2"/>
  <c r="P122" i="2"/>
  <c r="P120" i="2"/>
  <c r="P121" i="2"/>
  <c r="P117" i="2"/>
  <c r="P118" i="2"/>
  <c r="P119" i="2"/>
  <c r="P116" i="2"/>
  <c r="P115" i="2"/>
  <c r="P112" i="2"/>
  <c r="P113" i="2"/>
  <c r="P114" i="2"/>
  <c r="P107" i="2"/>
  <c r="P108" i="2"/>
  <c r="P109" i="2"/>
  <c r="P110" i="2"/>
  <c r="P111" i="2"/>
  <c r="P99" i="2"/>
  <c r="P100" i="2"/>
  <c r="P101" i="2"/>
  <c r="P102" i="2"/>
  <c r="P103" i="2"/>
  <c r="P104" i="2"/>
  <c r="P105" i="2"/>
  <c r="P106" i="2"/>
  <c r="P98" i="2"/>
  <c r="P97" i="2"/>
  <c r="P95" i="2"/>
  <c r="P96" i="2"/>
  <c r="P94" i="2"/>
  <c r="P88" i="2"/>
  <c r="P89" i="2"/>
  <c r="P90" i="2"/>
  <c r="P91" i="2"/>
  <c r="P92" i="2"/>
  <c r="P93" i="2"/>
  <c r="P87" i="2"/>
  <c r="P86" i="2"/>
  <c r="P85" i="2"/>
  <c r="P82" i="2"/>
  <c r="P83" i="2"/>
  <c r="P84" i="2"/>
  <c r="P81" i="2"/>
  <c r="P80" i="2"/>
  <c r="P79" i="2"/>
  <c r="P78" i="2"/>
  <c r="P74" i="2"/>
  <c r="P75" i="2"/>
  <c r="P76" i="2"/>
  <c r="P77" i="2"/>
  <c r="P73" i="2"/>
  <c r="P72" i="2"/>
  <c r="P71" i="2"/>
  <c r="P69" i="2"/>
  <c r="P70" i="2"/>
  <c r="P57" i="2"/>
  <c r="P58" i="2"/>
  <c r="P59" i="2"/>
  <c r="P60" i="2"/>
  <c r="P61" i="2"/>
  <c r="P62" i="2"/>
  <c r="P63" i="2"/>
  <c r="P64" i="2"/>
  <c r="P65" i="2"/>
  <c r="P66" i="2"/>
  <c r="P67" i="2"/>
  <c r="P68" i="2"/>
  <c r="P54" i="2"/>
  <c r="P55" i="2"/>
  <c r="P56" i="2"/>
  <c r="P53" i="2"/>
  <c r="P52" i="2"/>
  <c r="P51" i="2"/>
  <c r="P50" i="2"/>
  <c r="P48" i="2"/>
  <c r="P49" i="2"/>
  <c r="P47" i="2"/>
  <c r="P46" i="2"/>
  <c r="P42" i="2"/>
  <c r="P43" i="2"/>
  <c r="P44" i="2"/>
  <c r="P45" i="2"/>
  <c r="P39" i="2"/>
  <c r="P40" i="2"/>
  <c r="P41" i="2"/>
  <c r="P38" i="2"/>
  <c r="P37" i="2"/>
  <c r="P36" i="2"/>
  <c r="P35" i="2"/>
  <c r="P34" i="2"/>
  <c r="P30" i="2"/>
  <c r="P31" i="2"/>
  <c r="P32" i="2"/>
  <c r="P33" i="2"/>
  <c r="P29" i="2"/>
  <c r="P28" i="2"/>
  <c r="P24" i="2"/>
  <c r="P25" i="2"/>
  <c r="P26" i="2"/>
  <c r="P27" i="2"/>
  <c r="P22" i="2"/>
  <c r="P23" i="2"/>
  <c r="P21" i="2"/>
  <c r="P20" i="2"/>
  <c r="P19" i="2"/>
  <c r="P18" i="2"/>
  <c r="P16" i="2"/>
  <c r="P17" i="2"/>
  <c r="P15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<sst xmlns="http://schemas.openxmlformats.org/spreadsheetml/2006/main" count="1906" uniqueCount="237">
  <si>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</si>
  <si>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</si>
  <si>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</si>
  <si>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</si>
  <si>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</si>
  <si>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</si>
  <si>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</si>
  <si>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</si>
  <si>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</si>
  <si>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</si>
  <si>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</si>
  <si>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</si>
  <si>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</si>
  <si>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</si>
  <si>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</si>
  <si>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</si>
  <si>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</si>
  <si>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</si>
  <si>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</si>
  <si>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</si>
  <si>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</si>
  <si>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</si>
  <si>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</si>
  <si>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</si>
  <si>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</si>
  <si>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</si>
  <si>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</si>
  <si>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</si>
  <si>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</si>
  <si>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</si>
  <si>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</si>
  <si>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</si>
  <si>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</si>
  <si>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</si>
  <si>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</si>
  <si>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</si>
  <si>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</si>
  <si>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</si>
  <si>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</si>
  <si>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</si>
  <si>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</si>
  <si>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</si>
  <si>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</si>
  <si>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</si>
  <si>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</si>
  <si>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</si>
  <si>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</si>
  <si>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</si>
  <si>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</si>
  <si>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</si>
  <si>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</si>
  <si>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</si>
  <si>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</si>
  <si>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</si>
  <si>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</si>
  <si>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</si>
  <si>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</si>
  <si>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</si>
  <si>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</si>
  <si>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</si>
  <si>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</si>
  <si>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</si>
  <si>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</si>
  <si>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</si>
  <si>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</si>
  <si>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</si>
  <si>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</si>
  <si>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</si>
  <si>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</si>
  <si>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</si>
  <si>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</si>
  <si>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</si>
  <si>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</si>
  <si>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</si>
  <si>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</si>
  <si>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</si>
  <si>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</si>
  <si>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</si>
  <si>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</si>
  <si>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</si>
  <si>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</si>
  <si>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</si>
  <si>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</si>
  <si>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</si>
  <si>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</si>
  <si>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</si>
  <si>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</si>
  <si>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</si>
  <si>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</si>
  <si>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</si>
  <si>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</si>
  <si>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</si>
  <si>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</si>
  <si>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</si>
  <si>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</si>
  <si>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</si>
  <si>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</si>
  <si>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</si>
  <si>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</si>
  <si>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</si>
  <si>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</si>
  <si>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</si>
  <si>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</si>
  <si>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</si>
  <si>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</si>
  <si>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</si>
  <si>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</si>
  <si>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</si>
  <si>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</si>
  <si>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</si>
  <si>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</si>
  <si>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</si>
  <si>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</si>
  <si>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</si>
  <si>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</si>
  <si>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</si>
  <si>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</si>
  <si>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</si>
  <si>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</si>
  <si>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</si>
  <si>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</si>
  <si>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</si>
  <si>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</si>
  <si>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</si>
  <si>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</si>
  <si>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</si>
  <si>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</si>
  <si>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</si>
  <si>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</si>
  <si>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</si>
  <si>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</si>
  <si>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</si>
  <si>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</si>
  <si>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</si>
  <si>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</si>
  <si>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</si>
  <si>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</si>
  <si>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</si>
  <si>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</si>
  <si>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</si>
  <si>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</si>
  <si>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</si>
  <si>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</si>
  <si>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</si>
  <si>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</si>
  <si>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</si>
  <si>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</si>
  <si>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</si>
  <si>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</si>
  <si>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</si>
  <si>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</si>
  <si>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</si>
  <si>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</si>
  <si>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</si>
  <si>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</si>
  <si>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</si>
  <si>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</si>
  <si>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</si>
  <si>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</si>
  <si>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</si>
  <si>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</si>
  <si>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</si>
  <si>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</si>
  <si>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</si>
  <si>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</si>
  <si>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</si>
  <si>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</si>
  <si>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</si>
  <si>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</si>
  <si>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</si>
  <si>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</si>
  <si>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</si>
  <si>
    <t>Boubacar BA</t>
  </si>
  <si>
    <t>MOUSTAPHA DIALLO</t>
  </si>
  <si>
    <t>ABLAYE DIALLO</t>
  </si>
  <si>
    <t>Dalifort</t>
  </si>
  <si>
    <t>Sow</t>
  </si>
  <si>
    <t>Grand Dakar</t>
  </si>
  <si>
    <t>Wane</t>
  </si>
  <si>
    <t>HLM</t>
  </si>
  <si>
    <t>Baye sy</t>
  </si>
  <si>
    <t>Moustapha Mbaye</t>
  </si>
  <si>
    <t>Bassirou NDAO</t>
  </si>
  <si>
    <t>Demain stp</t>
  </si>
  <si>
    <t>Moussa</t>
  </si>
  <si>
    <t>Lamine Diallo</t>
  </si>
  <si>
    <t>Guinaw Rail</t>
  </si>
  <si>
    <t>Khadime FALL</t>
  </si>
  <si>
    <t>Mame Serigne</t>
  </si>
  <si>
    <t>Galle GOLLE</t>
  </si>
  <si>
    <t>Café pot Refraish 200g</t>
  </si>
  <si>
    <t>Abdou Diallo</t>
  </si>
  <si>
    <t>Pikine Rue 10</t>
  </si>
  <si>
    <t>Moustapha  Daow</t>
  </si>
  <si>
    <t>Jaxaay</t>
  </si>
  <si>
    <t>Momodou Salif</t>
  </si>
  <si>
    <t>Aladji</t>
  </si>
  <si>
    <t>Makhtar</t>
  </si>
  <si>
    <t>Ndioguou</t>
  </si>
  <si>
    <t>Diamniadio</t>
  </si>
  <si>
    <t>Serigne Touré</t>
  </si>
  <si>
    <t>Seye et Frère</t>
  </si>
  <si>
    <t>Il dit que le produit est cher par rapport aux prix du marché</t>
  </si>
  <si>
    <t>Amadou</t>
  </si>
  <si>
    <t>Khalifa</t>
  </si>
  <si>
    <t>Ousseynou diop</t>
  </si>
  <si>
    <t>Livré le 12-03</t>
  </si>
  <si>
    <t>Diouf Alimentation</t>
  </si>
  <si>
    <t>Massaer</t>
  </si>
  <si>
    <t>Diallo</t>
  </si>
  <si>
    <t>Cheikh Bara</t>
  </si>
  <si>
    <t>Baldé et frère</t>
  </si>
  <si>
    <t>MACTAR</t>
  </si>
  <si>
    <t>El Hadji</t>
  </si>
  <si>
    <t>Alioune</t>
  </si>
  <si>
    <t>Keur Massar Sotrac</t>
  </si>
  <si>
    <t>Amadou Diallo</t>
  </si>
  <si>
    <t>Ouakam</t>
  </si>
  <si>
    <t>Sonké Global Distribution Suarl</t>
  </si>
  <si>
    <t>Gueule Tapée</t>
  </si>
  <si>
    <t>Baye FALL</t>
  </si>
  <si>
    <t>Grand Boutique</t>
  </si>
  <si>
    <t>Mbao</t>
  </si>
  <si>
    <t>Elhadj Thiaw</t>
  </si>
  <si>
    <t>Zac Mbao</t>
  </si>
  <si>
    <t>Ibrahima Tahirou</t>
  </si>
  <si>
    <t>Ablaye</t>
  </si>
  <si>
    <t>Abdou Rakhmane Baldé</t>
  </si>
  <si>
    <t>18safar</t>
  </si>
  <si>
    <t>Je vais essayer avec les 10</t>
  </si>
  <si>
    <t>Khadim Lo</t>
  </si>
  <si>
    <t>Khdime sylla</t>
  </si>
  <si>
    <t>Kamlac Junior BLE cereal 50g x 10 x 8 sachet</t>
  </si>
  <si>
    <t>Chocolat Jaune 10gx60pcsx6 boites</t>
  </si>
  <si>
    <t>Aziz</t>
  </si>
  <si>
    <t>Matar Gaye</t>
  </si>
  <si>
    <t>Ndiaye &amp; Frère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</si>
</sst>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211" totalsRowShown="0" headerRowDxfId="18" headerRowBorderDxfId="17" tableBorderDxfId="16">
  <autoFilter ref="A1:P21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211"/>
  <sheetViews>
    <sheetView tabSelected="1" topLeftCell="J177" zoomScale="79" zoomScaleNormal="79" workbookViewId="0">
      <selection activeCell="O195" sqref="O195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"S"&amp;_xlfn.ISOWEEKNUM(Semaine_1[[#This Row],[Date]])</f>
        <v>S8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"S"&amp;_xlfn.ISOWEEKNUM(Semaine_1[[#This Row],[Date]])</f>
        <v>S8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"S"&amp;_xlfn.ISOWEEKNUM(Semaine_1[[#This Row],[Date]])</f>
        <v>S8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"S"&amp;_xlfn.ISOWEEKNUM(Semaine_1[[#This Row],[Date]])</f>
        <v>S8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"S"&amp;_xlfn.ISOWEEKNUM(Semaine_1[[#This Row],[Date]])</f>
        <v>S8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"S"&amp;_xlfn.ISOWEEKNUM(Semaine_1[[#This Row],[Date]])</f>
        <v>S8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"S"&amp;_xlfn.ISOWEEKNUM(Semaine_1[[#This Row],[Date]])</f>
        <v>S8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"S"&amp;_xlfn.ISOWEEKNUM(Semaine_1[[#This Row],[Date]])</f>
        <v>S8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"S"&amp;_xlfn.ISOWEEKNUM(Semaine_1[[#This Row],[Date]])</f>
        <v>S8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"S"&amp;_xlfn.ISOWEEKNUM(Semaine_1[[#This Row],[Date]])</f>
        <v>S8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"S"&amp;_xlfn.ISOWEEKNUM(Semaine_1[[#This Row],[Date]])</f>
        <v>S8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"S"&amp;_xlfn.ISOWEEKNUM(Semaine_1[[#This Row],[Date]])</f>
        <v>S8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"S"&amp;_xlfn.ISOWEEKNUM(Semaine_1[[#This Row],[Date]])</f>
        <v>S8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"S"&amp;_xlfn.ISOWEEKNUM(Semaine_1[[#This Row],[Date]])</f>
        <v>S8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"S"&amp;_xlfn.ISOWEEKNUM(Semaine_1[[#This Row],[Date]])</f>
        <v>S8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"S"&amp;_xlfn.ISOWEEKNUM(Semaine_1[[#This Row],[Date]])</f>
        <v>S8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"S"&amp;_xlfn.ISOWEEKNUM(Semaine_1[[#This Row],[Date]])</f>
        <v>S8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"S"&amp;_xlfn.ISOWEEKNUM(Semaine_1[[#This Row],[Date]])</f>
        <v>S8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"S"&amp;_xlfn.ISOWEEKNUM(Semaine_1[[#This Row],[Date]])</f>
        <v>S8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"S"&amp;_xlfn.ISOWEEKNUM(Semaine_1[[#This Row],[Date]])</f>
        <v>S8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"S"&amp;_xlfn.ISOWEEKNUM(Semaine_1[[#This Row],[Date]])</f>
        <v>S8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"S"&amp;_xlfn.ISOWEEKNUM(Semaine_1[[#This Row],[Date]])</f>
        <v>S8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"S"&amp;_xlfn.ISOWEEKNUM(Semaine_1[[#This Row],[Date]])</f>
        <v>S8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"S"&amp;_xlfn.ISOWEEKNUM(Semaine_1[[#This Row],[Date]])</f>
        <v>S8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"S"&amp;_xlfn.ISOWEEKNUM(Semaine_1[[#This Row],[Date]])</f>
        <v>S8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"S"&amp;_xlfn.ISOWEEKNUM(Semaine_1[[#This Row],[Date]])</f>
        <v>S8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"S"&amp;_xlfn.ISOWEEKNUM(Semaine_1[[#This Row],[Date]])</f>
        <v>S8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"S"&amp;_xlfn.ISOWEEKNUM(Semaine_1[[#This Row],[Date]])</f>
        <v>S8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"S"&amp;_xlfn.ISOWEEKNUM(Semaine_1[[#This Row],[Date]])</f>
        <v>S8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"S"&amp;_xlfn.ISOWEEKNUM(Semaine_1[[#This Row],[Date]])</f>
        <v>S8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"S"&amp;_xlfn.ISOWEEKNUM(Semaine_1[[#This Row],[Date]])</f>
        <v>S8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"S"&amp;_xlfn.ISOWEEKNUM(Semaine_1[[#This Row],[Date]])</f>
        <v>S8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"S"&amp;_xlfn.ISOWEEKNUM(Semaine_1[[#This Row],[Date]])</f>
        <v>S8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"S"&amp;_xlfn.ISOWEEKNUM(Semaine_1[[#This Row],[Date]])</f>
        <v>S8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"S"&amp;_xlfn.ISOWEEKNUM(Semaine_1[[#This Row],[Date]])</f>
        <v>S8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"S"&amp;_xlfn.ISOWEEKNUM(Semaine_1[[#This Row],[Date]])</f>
        <v>S8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"S"&amp;_xlfn.ISOWEEKNUM(Semaine_1[[#This Row],[Date]])</f>
        <v>S8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"S"&amp;_xlfn.ISOWEEKNUM(Semaine_1[[#This Row],[Date]])</f>
        <v>S8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"S"&amp;_xlfn.ISOWEEKNUM(Semaine_1[[#This Row],[Date]])</f>
        <v>S8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"S"&amp;_xlfn.ISOWEEKNUM(Semaine_1[[#This Row],[Date]])</f>
        <v>S8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"S"&amp;_xlfn.ISOWEEKNUM(Semaine_1[[#This Row],[Date]])</f>
        <v>S8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"S"&amp;_xlfn.ISOWEEKNUM(Semaine_1[[#This Row],[Date]])</f>
        <v>S8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"S"&amp;_xlfn.ISOWEEKNUM(Semaine_1[[#This Row],[Date]])</f>
        <v>S8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"S"&amp;_xlfn.ISOWEEKNUM(Semaine_1[[#This Row],[Date]])</f>
        <v>S8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"S"&amp;_xlfn.ISOWEEKNUM(Semaine_1[[#This Row],[Date]])</f>
        <v>S8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"S"&amp;_xlfn.ISOWEEKNUM(Semaine_1[[#This Row],[Date]])</f>
        <v>S8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"S"&amp;_xlfn.ISOWEEKNUM(Semaine_1[[#This Row],[Date]])</f>
        <v>S8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"S"&amp;_xlfn.ISOWEEKNUM(Semaine_1[[#This Row],[Date]])</f>
        <v>S8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"S"&amp;_xlfn.ISOWEEKNUM(Semaine_1[[#This Row],[Date]])</f>
        <v>S8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"S"&amp;_xlfn.ISOWEEKNUM(Semaine_1[[#This Row],[Date]])</f>
        <v>S8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"S"&amp;_xlfn.ISOWEEKNUM(Semaine_1[[#This Row],[Date]])</f>
        <v>S8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"S"&amp;_xlfn.ISOWEEKNUM(Semaine_1[[#This Row],[Date]])</f>
        <v>S8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"S"&amp;_xlfn.ISOWEEKNUM(Semaine_1[[#This Row],[Date]])</f>
        <v>S8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"S"&amp;_xlfn.ISOWEEKNUM(Semaine_1[[#This Row],[Date]])</f>
        <v>S8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"S"&amp;_xlfn.ISOWEEKNUM(Semaine_1[[#This Row],[Date]])</f>
        <v>S8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"S"&amp;_xlfn.ISOWEEKNUM(Semaine_1[[#This Row],[Date]])</f>
        <v>S8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"S"&amp;_xlfn.ISOWEEKNUM(Semaine_1[[#This Row],[Date]])</f>
        <v>S8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"S"&amp;_xlfn.ISOWEEKNUM(Semaine_1[[#This Row],[Date]])</f>
        <v>S8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"S"&amp;_xlfn.ISOWEEKNUM(Semaine_1[[#This Row],[Date]])</f>
        <v>S8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"S"&amp;_xlfn.ISOWEEKNUM(Semaine_1[[#This Row],[Date]])</f>
        <v>S8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"S"&amp;_xlfn.ISOWEEKNUM(Semaine_1[[#This Row],[Date]])</f>
        <v>S8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"S"&amp;_xlfn.ISOWEEKNUM(Semaine_1[[#This Row],[Date]])</f>
        <v>S8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"S"&amp;_xlfn.ISOWEEKNUM(Semaine_1[[#This Row],[Date]])</f>
        <v>S8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"S"&amp;_xlfn.ISOWEEKNUM(Semaine_1[[#This Row],[Date]])</f>
        <v>S8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"S"&amp;_xlfn.ISOWEEKNUM(Semaine_1[[#This Row],[Date]])</f>
        <v>S8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"S"&amp;_xlfn.ISOWEEKNUM(Semaine_1[[#This Row],[Date]])</f>
        <v>S8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"S"&amp;_xlfn.ISOWEEKNUM(Semaine_1[[#This Row],[Date]])</f>
        <v>S8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"S"&amp;_xlfn.ISOWEEKNUM(Semaine_1[[#This Row],[Date]])</f>
        <v>S8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"S"&amp;_xlfn.ISOWEEKNUM(Semaine_1[[#This Row],[Date]])</f>
        <v>S8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"S"&amp;_xlfn.ISOWEEKNUM(Semaine_1[[#This Row],[Date]])</f>
        <v>S8</v>
      </c>
      <c r="P71" t="str">
        <f>TEXT(Semaine_1[[#This Row],[Date]],"MMMM")</f>
        <v>février</v>
      </c>
    </row>
    <row r="72" spans="1:16" ht="28.15" x14ac:dyDescent="0.45">
      <c r="A72" s="8">
        <v>46076</v>
      </c>
      <c r="B72" s="9" t="s">
        <v>39</v>
      </c>
      <c r="C72" s="9" t="s">
        <v>40</v>
      </c>
      <c r="D72" s="9" t="s">
        <v>43</v>
      </c>
      <c r="E72" s="9" t="s">
        <v>87</v>
      </c>
      <c r="F72" s="9">
        <v>776428218</v>
      </c>
      <c r="G72" s="9" t="s">
        <v>30</v>
      </c>
      <c r="H72" s="9" t="s">
        <v>13</v>
      </c>
      <c r="I72" s="9" t="s">
        <v>17</v>
      </c>
      <c r="J72" s="9" t="s">
        <v>21</v>
      </c>
      <c r="K72" s="9" t="s">
        <v>24</v>
      </c>
      <c r="L72" s="9">
        <v>20</v>
      </c>
      <c r="M72" s="10">
        <v>9500</v>
      </c>
      <c r="N72" s="10">
        <v>190000</v>
      </c>
      <c r="O72" s="7" t="str">
        <f>"S"&amp;_xlfn.ISOWEEKNUM(Semaine_1[[#This Row],[Date]])</f>
        <v>S9</v>
      </c>
      <c r="P72" t="str">
        <f>TEXT(Semaine_1[[#This Row],[Date]],"MMMM")</f>
        <v>février</v>
      </c>
    </row>
    <row r="73" spans="1:16" ht="28.15" x14ac:dyDescent="0.45">
      <c r="A73" s="8">
        <v>46076</v>
      </c>
      <c r="B73" s="9" t="s">
        <v>39</v>
      </c>
      <c r="C73" s="9" t="s">
        <v>40</v>
      </c>
      <c r="D73" s="9" t="s">
        <v>44</v>
      </c>
      <c r="E73" s="9" t="s">
        <v>132</v>
      </c>
      <c r="F73" s="9">
        <v>774277399</v>
      </c>
      <c r="G73" s="9" t="s">
        <v>30</v>
      </c>
      <c r="H73" s="9" t="s">
        <v>13</v>
      </c>
      <c r="I73" s="9" t="s">
        <v>17</v>
      </c>
      <c r="J73" s="9" t="s">
        <v>21</v>
      </c>
      <c r="K73" s="9" t="s">
        <v>24</v>
      </c>
      <c r="L73" s="9">
        <v>20</v>
      </c>
      <c r="M73" s="10">
        <v>9500</v>
      </c>
      <c r="N73" s="10">
        <v>190000</v>
      </c>
      <c r="O73" s="7" t="str">
        <f>"S"&amp;_xlfn.ISOWEEKNUM(Semaine_1[[#This Row],[Date]])</f>
        <v>S9</v>
      </c>
      <c r="P73" t="str">
        <f>TEXT(Semaine_1[[#This Row],[Date]],"MMMM")</f>
        <v>février</v>
      </c>
    </row>
    <row r="74" spans="1:16" ht="28.15" x14ac:dyDescent="0.45">
      <c r="A74" s="8">
        <v>46076</v>
      </c>
      <c r="B74" s="9" t="s">
        <v>14</v>
      </c>
      <c r="C74" s="9" t="s">
        <v>15</v>
      </c>
      <c r="D74" s="9" t="s">
        <v>59</v>
      </c>
      <c r="E74" s="9" t="s">
        <v>133</v>
      </c>
      <c r="F74" s="9">
        <v>778579191</v>
      </c>
      <c r="G74" s="9" t="s">
        <v>16</v>
      </c>
      <c r="H74" s="9" t="s">
        <v>13</v>
      </c>
      <c r="I74" s="9" t="s">
        <v>17</v>
      </c>
      <c r="J74" s="9" t="s">
        <v>17</v>
      </c>
      <c r="K74" s="9" t="s">
        <v>24</v>
      </c>
      <c r="L74" s="9">
        <v>30</v>
      </c>
      <c r="M74" s="10">
        <v>9750</v>
      </c>
      <c r="N74" s="10">
        <v>292500</v>
      </c>
      <c r="O74" s="7" t="str">
        <f>"S"&amp;_xlfn.ISOWEEKNUM(Semaine_1[[#This Row],[Date]])</f>
        <v>S9</v>
      </c>
      <c r="P74" t="str">
        <f>TEXT(Semaine_1[[#This Row],[Date]],"MMMM")</f>
        <v>février</v>
      </c>
    </row>
    <row r="75" spans="1:16" ht="28.15" x14ac:dyDescent="0.45">
      <c r="A75" s="8">
        <v>46076</v>
      </c>
      <c r="B75" s="9" t="s">
        <v>14</v>
      </c>
      <c r="C75" s="9" t="s">
        <v>15</v>
      </c>
      <c r="D75" s="9" t="s">
        <v>85</v>
      </c>
      <c r="E75" s="9" t="s">
        <v>134</v>
      </c>
      <c r="F75" s="9">
        <v>774414059</v>
      </c>
      <c r="G75" s="9" t="s">
        <v>16</v>
      </c>
      <c r="H75" s="9" t="s">
        <v>13</v>
      </c>
      <c r="I75" s="9" t="s">
        <v>17</v>
      </c>
      <c r="J75" s="9" t="s">
        <v>65</v>
      </c>
      <c r="K75" s="9" t="s">
        <v>34</v>
      </c>
      <c r="L75" s="9">
        <v>25</v>
      </c>
      <c r="M75" s="10">
        <v>9250</v>
      </c>
      <c r="N75" s="10">
        <v>231250</v>
      </c>
      <c r="O75" s="7" t="str">
        <f>"S"&amp;_xlfn.ISOWEEKNUM(Semaine_1[[#This Row],[Date]])</f>
        <v>S9</v>
      </c>
      <c r="P75" t="str">
        <f>TEXT(Semaine_1[[#This Row],[Date]],"MMMM")</f>
        <v>février</v>
      </c>
    </row>
    <row r="76" spans="1:16" ht="28.15" x14ac:dyDescent="0.45">
      <c r="A76" s="8">
        <v>46076</v>
      </c>
      <c r="B76" s="9" t="s">
        <v>14</v>
      </c>
      <c r="C76" s="9" t="s">
        <v>15</v>
      </c>
      <c r="D76" s="9" t="s">
        <v>59</v>
      </c>
      <c r="E76" s="9" t="s">
        <v>91</v>
      </c>
      <c r="F76" s="9">
        <v>779486095</v>
      </c>
      <c r="G76" s="9" t="s">
        <v>16</v>
      </c>
      <c r="H76" s="9" t="s">
        <v>13</v>
      </c>
      <c r="I76" s="9" t="s">
        <v>17</v>
      </c>
      <c r="J76" s="9" t="s">
        <v>65</v>
      </c>
      <c r="K76" s="9" t="s">
        <v>77</v>
      </c>
      <c r="L76" s="9">
        <v>25</v>
      </c>
      <c r="M76" s="10">
        <v>18000</v>
      </c>
      <c r="N76" s="10">
        <v>450000</v>
      </c>
      <c r="O76" s="7" t="str">
        <f>"S"&amp;_xlfn.ISOWEEKNUM(Semaine_1[[#This Row],[Date]])</f>
        <v>S9</v>
      </c>
      <c r="P76" t="str">
        <f>TEXT(Semaine_1[[#This Row],[Date]],"MMMM")</f>
        <v>février</v>
      </c>
    </row>
    <row r="77" spans="1:16" ht="28.15" x14ac:dyDescent="0.45">
      <c r="A77" s="8">
        <v>46076</v>
      </c>
      <c r="B77" s="9" t="s">
        <v>14</v>
      </c>
      <c r="C77" s="9" t="s">
        <v>15</v>
      </c>
      <c r="D77" s="9" t="s">
        <v>59</v>
      </c>
      <c r="E77" s="9" t="s">
        <v>135</v>
      </c>
      <c r="F77" s="9">
        <v>779676016</v>
      </c>
      <c r="G77" s="9" t="s">
        <v>16</v>
      </c>
      <c r="H77" s="9" t="s">
        <v>13</v>
      </c>
      <c r="I77" s="9" t="s">
        <v>17</v>
      </c>
      <c r="J77" s="9" t="s">
        <v>65</v>
      </c>
      <c r="K77" s="9" t="s">
        <v>56</v>
      </c>
      <c r="L77" s="9">
        <v>50</v>
      </c>
      <c r="M77" s="10">
        <v>11000</v>
      </c>
      <c r="N77" s="10">
        <v>550000</v>
      </c>
      <c r="O77" s="7" t="str">
        <f>"S"&amp;_xlfn.ISOWEEKNUM(Semaine_1[[#This Row],[Date]])</f>
        <v>S9</v>
      </c>
      <c r="P77" t="str">
        <f>TEXT(Semaine_1[[#This Row],[Date]],"MMMM")</f>
        <v>février</v>
      </c>
    </row>
    <row r="78" spans="1:16" ht="28.15" x14ac:dyDescent="0.45">
      <c r="A78" s="8">
        <v>46076</v>
      </c>
      <c r="B78" s="9" t="s">
        <v>39</v>
      </c>
      <c r="C78" s="9" t="s">
        <v>40</v>
      </c>
      <c r="D78" s="9" t="s">
        <v>44</v>
      </c>
      <c r="E78" s="9" t="s">
        <v>136</v>
      </c>
      <c r="F78" s="9">
        <v>786323232</v>
      </c>
      <c r="G78" s="9" t="s">
        <v>16</v>
      </c>
      <c r="H78" s="9" t="s">
        <v>13</v>
      </c>
      <c r="I78" s="9" t="s">
        <v>17</v>
      </c>
      <c r="J78" s="9" t="s">
        <v>21</v>
      </c>
      <c r="K78" s="9" t="s">
        <v>34</v>
      </c>
      <c r="L78" s="9">
        <v>25</v>
      </c>
      <c r="M78" s="10">
        <v>9250</v>
      </c>
      <c r="N78" s="10">
        <v>231250</v>
      </c>
      <c r="O78" s="7" t="str">
        <f>"S"&amp;_xlfn.ISOWEEKNUM(Semaine_1[[#This Row],[Date]])</f>
        <v>S9</v>
      </c>
      <c r="P78" t="str">
        <f>TEXT(Semaine_1[[#This Row],[Date]],"MMMM")</f>
        <v>février</v>
      </c>
    </row>
    <row r="79" spans="1:16" ht="28.15" x14ac:dyDescent="0.45">
      <c r="A79" s="8">
        <v>46076</v>
      </c>
      <c r="B79" s="9" t="s">
        <v>39</v>
      </c>
      <c r="C79" s="9" t="s">
        <v>40</v>
      </c>
      <c r="D79" s="9" t="s">
        <v>137</v>
      </c>
      <c r="E79" s="9" t="s">
        <v>138</v>
      </c>
      <c r="F79" s="9">
        <v>768059355</v>
      </c>
      <c r="G79" s="9" t="s">
        <v>16</v>
      </c>
      <c r="H79" s="9" t="s">
        <v>13</v>
      </c>
      <c r="I79" s="9" t="s">
        <v>17</v>
      </c>
      <c r="J79" s="9" t="s">
        <v>21</v>
      </c>
      <c r="K79" s="9" t="s">
        <v>24</v>
      </c>
      <c r="L79" s="9">
        <v>60</v>
      </c>
      <c r="M79" s="10">
        <v>9500</v>
      </c>
      <c r="N79" s="10">
        <v>570000</v>
      </c>
      <c r="O79" s="7" t="str">
        <f>"S"&amp;_xlfn.ISOWEEKNUM(Semaine_1[[#This Row],[Date]])</f>
        <v>S9</v>
      </c>
      <c r="P79" t="str">
        <f>TEXT(Semaine_1[[#This Row],[Date]],"MMMM")</f>
        <v>février</v>
      </c>
    </row>
    <row r="80" spans="1:16" x14ac:dyDescent="0.45">
      <c r="A80" s="8">
        <v>46076</v>
      </c>
      <c r="B80" s="9" t="s">
        <v>31</v>
      </c>
      <c r="C80" s="9" t="s">
        <v>32</v>
      </c>
      <c r="D80" s="9" t="s">
        <v>35</v>
      </c>
      <c r="E80" s="9" t="s">
        <v>139</v>
      </c>
      <c r="F80" s="9">
        <v>773817561</v>
      </c>
      <c r="G80" s="9" t="s">
        <v>16</v>
      </c>
      <c r="H80" s="9" t="s">
        <v>13</v>
      </c>
      <c r="I80" s="9" t="s">
        <v>17</v>
      </c>
      <c r="J80" s="9" t="s">
        <v>49</v>
      </c>
      <c r="K80" s="9" t="s">
        <v>51</v>
      </c>
      <c r="L80" s="9">
        <v>1</v>
      </c>
      <c r="M80" s="10">
        <v>33500</v>
      </c>
      <c r="N80" s="10">
        <v>33500</v>
      </c>
      <c r="O80" s="7" t="str">
        <f>"S"&amp;_xlfn.ISOWEEKNUM(Semaine_1[[#This Row],[Date]])</f>
        <v>S9</v>
      </c>
      <c r="P80" t="str">
        <f>TEXT(Semaine_1[[#This Row],[Date]],"MMMM")</f>
        <v>février</v>
      </c>
    </row>
    <row r="81" spans="1:16" x14ac:dyDescent="0.45">
      <c r="A81" s="8">
        <v>46076</v>
      </c>
      <c r="B81" s="9" t="s">
        <v>31</v>
      </c>
      <c r="C81" s="9" t="s">
        <v>32</v>
      </c>
      <c r="D81" s="9" t="s">
        <v>35</v>
      </c>
      <c r="E81" s="9" t="s">
        <v>139</v>
      </c>
      <c r="F81" s="9">
        <v>773817561</v>
      </c>
      <c r="G81" s="9" t="s">
        <v>16</v>
      </c>
      <c r="H81" s="9" t="s">
        <v>13</v>
      </c>
      <c r="I81" s="9" t="s">
        <v>17</v>
      </c>
      <c r="J81" s="9" t="s">
        <v>49</v>
      </c>
      <c r="K81" s="9" t="s">
        <v>56</v>
      </c>
      <c r="L81" s="9">
        <v>7</v>
      </c>
      <c r="M81" s="10">
        <v>12000</v>
      </c>
      <c r="N81" s="10">
        <v>84000</v>
      </c>
      <c r="O81" s="7" t="str">
        <f>"S"&amp;_xlfn.ISOWEEKNUM(Semaine_1[[#This Row],[Date]])</f>
        <v>S9</v>
      </c>
      <c r="P81" t="str">
        <f>TEXT(Semaine_1[[#This Row],[Date]],"MMMM")</f>
        <v>février</v>
      </c>
    </row>
    <row r="82" spans="1:16" x14ac:dyDescent="0.45">
      <c r="A82" s="8">
        <v>46076</v>
      </c>
      <c r="B82" s="9" t="s">
        <v>31</v>
      </c>
      <c r="C82" s="9" t="s">
        <v>32</v>
      </c>
      <c r="D82" s="9" t="s">
        <v>47</v>
      </c>
      <c r="E82" s="9" t="s">
        <v>48</v>
      </c>
      <c r="F82" s="9">
        <v>777096402</v>
      </c>
      <c r="G82" s="9" t="s">
        <v>16</v>
      </c>
      <c r="H82" s="9" t="s">
        <v>13</v>
      </c>
      <c r="I82" s="9" t="s">
        <v>17</v>
      </c>
      <c r="J82" s="9" t="s">
        <v>33</v>
      </c>
      <c r="K82" s="9" t="s">
        <v>24</v>
      </c>
      <c r="L82" s="9">
        <v>10</v>
      </c>
      <c r="M82" s="10">
        <v>9750</v>
      </c>
      <c r="N82" s="10">
        <v>97500</v>
      </c>
      <c r="O82" s="7" t="str">
        <f>"S"&amp;_xlfn.ISOWEEKNUM(Semaine_1[[#This Row],[Date]])</f>
        <v>S9</v>
      </c>
      <c r="P82" t="str">
        <f>TEXT(Semaine_1[[#This Row],[Date]],"MMMM")</f>
        <v>février</v>
      </c>
    </row>
    <row r="83" spans="1:16" x14ac:dyDescent="0.45">
      <c r="A83" s="8">
        <v>46076</v>
      </c>
      <c r="B83" s="9" t="s">
        <v>31</v>
      </c>
      <c r="C83" s="9" t="s">
        <v>32</v>
      </c>
      <c r="D83" s="9" t="s">
        <v>47</v>
      </c>
      <c r="E83" s="9" t="s">
        <v>48</v>
      </c>
      <c r="F83" s="9">
        <v>777096402</v>
      </c>
      <c r="G83" s="9" t="s">
        <v>16</v>
      </c>
      <c r="H83" s="9" t="s">
        <v>13</v>
      </c>
      <c r="I83" s="9" t="s">
        <v>17</v>
      </c>
      <c r="J83" s="9" t="s">
        <v>33</v>
      </c>
      <c r="K83" s="9" t="s">
        <v>24</v>
      </c>
      <c r="L83" s="9">
        <v>10</v>
      </c>
      <c r="M83" s="10">
        <v>9750</v>
      </c>
      <c r="N83" s="10">
        <v>97500</v>
      </c>
      <c r="O83" s="7" t="str">
        <f>"S"&amp;_xlfn.ISOWEEKNUM(Semaine_1[[#This Row],[Date]])</f>
        <v>S9</v>
      </c>
      <c r="P83" t="str">
        <f>TEXT(Semaine_1[[#This Row],[Date]],"MMMM")</f>
        <v>février</v>
      </c>
    </row>
    <row r="84" spans="1:16" x14ac:dyDescent="0.45">
      <c r="A84" s="8">
        <v>46076</v>
      </c>
      <c r="B84" s="9" t="s">
        <v>31</v>
      </c>
      <c r="C84" s="9" t="s">
        <v>32</v>
      </c>
      <c r="D84" s="9" t="s">
        <v>35</v>
      </c>
      <c r="E84" s="9" t="s">
        <v>52</v>
      </c>
      <c r="F84" s="9">
        <v>777262311</v>
      </c>
      <c r="G84" s="9" t="s">
        <v>16</v>
      </c>
      <c r="H84" s="9" t="s">
        <v>13</v>
      </c>
      <c r="I84" s="9" t="s">
        <v>17</v>
      </c>
      <c r="J84" s="9" t="s">
        <v>33</v>
      </c>
      <c r="K84" s="9" t="s">
        <v>24</v>
      </c>
      <c r="L84" s="9">
        <v>5</v>
      </c>
      <c r="M84" s="10">
        <v>9750</v>
      </c>
      <c r="N84" s="10">
        <v>48750</v>
      </c>
      <c r="O84" s="7" t="str">
        <f>"S"&amp;_xlfn.ISOWEEKNUM(Semaine_1[[#This Row],[Date]])</f>
        <v>S9</v>
      </c>
      <c r="P84" t="str">
        <f>TEXT(Semaine_1[[#This Row],[Date]],"MMMM")</f>
        <v>février</v>
      </c>
    </row>
    <row r="85" spans="1:16" x14ac:dyDescent="0.45">
      <c r="A85" s="8">
        <v>46076</v>
      </c>
      <c r="B85" s="9" t="s">
        <v>31</v>
      </c>
      <c r="C85" s="9" t="s">
        <v>32</v>
      </c>
      <c r="D85" s="9" t="s">
        <v>35</v>
      </c>
      <c r="E85" s="9" t="s">
        <v>52</v>
      </c>
      <c r="F85" s="9">
        <v>777262311</v>
      </c>
      <c r="G85" s="9" t="s">
        <v>16</v>
      </c>
      <c r="H85" s="9" t="s">
        <v>13</v>
      </c>
      <c r="I85" s="9" t="s">
        <v>17</v>
      </c>
      <c r="J85" s="9" t="s">
        <v>33</v>
      </c>
      <c r="K85" s="9" t="s">
        <v>56</v>
      </c>
      <c r="L85" s="9">
        <v>5</v>
      </c>
      <c r="M85" s="10">
        <v>12000</v>
      </c>
      <c r="N85" s="10">
        <v>60000</v>
      </c>
      <c r="O85" s="7" t="str">
        <f>"S"&amp;_xlfn.ISOWEEKNUM(Semaine_1[[#This Row],[Date]])</f>
        <v>S9</v>
      </c>
      <c r="P85" t="str">
        <f>TEXT(Semaine_1[[#This Row],[Date]],"MMMM")</f>
        <v>février</v>
      </c>
    </row>
    <row r="86" spans="1:16" x14ac:dyDescent="0.45">
      <c r="A86" s="8">
        <v>46078</v>
      </c>
      <c r="B86" s="9" t="s">
        <v>169</v>
      </c>
      <c r="C86" s="9" t="s">
        <v>67</v>
      </c>
      <c r="D86" s="9" t="s">
        <v>67</v>
      </c>
      <c r="E86" s="9" t="s">
        <v>140</v>
      </c>
      <c r="F86" s="9">
        <v>775039973</v>
      </c>
      <c r="G86" s="9" t="s">
        <v>16</v>
      </c>
      <c r="H86" s="9" t="s">
        <v>13</v>
      </c>
      <c r="I86" s="9" t="s">
        <v>17</v>
      </c>
      <c r="J86" s="9" t="s">
        <v>141</v>
      </c>
      <c r="K86" s="9" t="s">
        <v>37</v>
      </c>
      <c r="L86" s="9">
        <v>25</v>
      </c>
      <c r="M86" s="10">
        <v>26000</v>
      </c>
      <c r="N86" s="10">
        <v>650000</v>
      </c>
      <c r="O86" s="7" t="str">
        <f>"S"&amp;_xlfn.ISOWEEKNUM(Semaine_1[[#This Row],[Date]])</f>
        <v>S9</v>
      </c>
      <c r="P86" t="str">
        <f>TEXT(Semaine_1[[#This Row],[Date]],"MMMM")</f>
        <v>février</v>
      </c>
    </row>
    <row r="87" spans="1:16" ht="28.15" x14ac:dyDescent="0.45">
      <c r="A87" s="8">
        <v>46078</v>
      </c>
      <c r="B87" s="9" t="s">
        <v>170</v>
      </c>
      <c r="C87" s="9" t="s">
        <v>22</v>
      </c>
      <c r="D87" s="9" t="s">
        <v>23</v>
      </c>
      <c r="E87" s="9" t="s">
        <v>142</v>
      </c>
      <c r="F87" s="9">
        <v>778356666</v>
      </c>
      <c r="G87" s="9" t="s">
        <v>16</v>
      </c>
      <c r="H87" s="9" t="s">
        <v>13</v>
      </c>
      <c r="I87" s="9" t="s">
        <v>17</v>
      </c>
      <c r="J87" s="9" t="s">
        <v>21</v>
      </c>
      <c r="K87" s="9" t="s">
        <v>37</v>
      </c>
      <c r="L87" s="9">
        <v>25</v>
      </c>
      <c r="M87" s="10">
        <v>26000</v>
      </c>
      <c r="N87" s="10">
        <v>650000</v>
      </c>
      <c r="O87" s="7" t="str">
        <f>"S"&amp;_xlfn.ISOWEEKNUM(Semaine_1[[#This Row],[Date]])</f>
        <v>S9</v>
      </c>
      <c r="P87" t="str">
        <f>TEXT(Semaine_1[[#This Row],[Date]],"MMMM")</f>
        <v>février</v>
      </c>
    </row>
    <row r="88" spans="1:16" x14ac:dyDescent="0.45">
      <c r="A88" s="8">
        <v>46078</v>
      </c>
      <c r="B88" s="9" t="s">
        <v>31</v>
      </c>
      <c r="C88" s="9" t="s">
        <v>32</v>
      </c>
      <c r="D88" s="9" t="s">
        <v>35</v>
      </c>
      <c r="E88" s="9" t="s">
        <v>119</v>
      </c>
      <c r="F88" s="9">
        <v>777972938</v>
      </c>
      <c r="G88" s="9" t="s">
        <v>30</v>
      </c>
      <c r="H88" s="9" t="s">
        <v>13</v>
      </c>
      <c r="I88" s="9" t="s">
        <v>17</v>
      </c>
      <c r="J88" s="9" t="s">
        <v>144</v>
      </c>
      <c r="K88" s="9" t="s">
        <v>56</v>
      </c>
      <c r="L88" s="9">
        <v>3</v>
      </c>
      <c r="M88" s="10">
        <v>12000</v>
      </c>
      <c r="N88" s="10">
        <v>36000</v>
      </c>
      <c r="O88" s="7" t="str">
        <f>"S"&amp;_xlfn.ISOWEEKNUM(Semaine_1[[#This Row],[Date]])</f>
        <v>S9</v>
      </c>
      <c r="P88" t="str">
        <f>TEXT(Semaine_1[[#This Row],[Date]],"MMMM")</f>
        <v>février</v>
      </c>
    </row>
    <row r="89" spans="1:16" x14ac:dyDescent="0.45">
      <c r="A89" s="8">
        <v>46078</v>
      </c>
      <c r="B89" s="9" t="s">
        <v>31</v>
      </c>
      <c r="C89" s="9" t="s">
        <v>32</v>
      </c>
      <c r="D89" s="9" t="s">
        <v>35</v>
      </c>
      <c r="E89" s="9" t="s">
        <v>119</v>
      </c>
      <c r="F89" s="9">
        <v>777972938</v>
      </c>
      <c r="G89" s="9" t="s">
        <v>30</v>
      </c>
      <c r="H89" s="9" t="s">
        <v>13</v>
      </c>
      <c r="I89" s="9" t="s">
        <v>17</v>
      </c>
      <c r="J89" s="9" t="s">
        <v>144</v>
      </c>
      <c r="K89" s="9" t="s">
        <v>51</v>
      </c>
      <c r="L89" s="9">
        <v>2</v>
      </c>
      <c r="M89" s="10">
        <v>33500</v>
      </c>
      <c r="N89" s="10">
        <v>67000</v>
      </c>
      <c r="O89" s="7" t="str">
        <f>"S"&amp;_xlfn.ISOWEEKNUM(Semaine_1[[#This Row],[Date]])</f>
        <v>S9</v>
      </c>
      <c r="P89" t="str">
        <f>TEXT(Semaine_1[[#This Row],[Date]],"MMMM")</f>
        <v>février</v>
      </c>
    </row>
    <row r="90" spans="1:16" x14ac:dyDescent="0.45">
      <c r="A90" s="8">
        <v>46078</v>
      </c>
      <c r="B90" s="9" t="s">
        <v>31</v>
      </c>
      <c r="C90" s="9" t="s">
        <v>32</v>
      </c>
      <c r="D90" s="9" t="s">
        <v>35</v>
      </c>
      <c r="E90" s="9" t="s">
        <v>119</v>
      </c>
      <c r="F90" s="9">
        <v>777972938</v>
      </c>
      <c r="G90" s="9" t="s">
        <v>30</v>
      </c>
      <c r="H90" s="9" t="s">
        <v>13</v>
      </c>
      <c r="I90" s="9" t="s">
        <v>17</v>
      </c>
      <c r="J90" s="9" t="s">
        <v>144</v>
      </c>
      <c r="K90" s="9" t="s">
        <v>64</v>
      </c>
      <c r="L90" s="9">
        <v>2</v>
      </c>
      <c r="M90" s="10">
        <v>33500</v>
      </c>
      <c r="N90" s="10">
        <v>67000</v>
      </c>
      <c r="O90" s="7" t="str">
        <f>"S"&amp;_xlfn.ISOWEEKNUM(Semaine_1[[#This Row],[Date]])</f>
        <v>S9</v>
      </c>
      <c r="P90" t="str">
        <f>TEXT(Semaine_1[[#This Row],[Date]],"MMMM")</f>
        <v>février</v>
      </c>
    </row>
    <row r="91" spans="1:16" x14ac:dyDescent="0.45">
      <c r="A91" s="8">
        <v>46078</v>
      </c>
      <c r="B91" s="9" t="s">
        <v>31</v>
      </c>
      <c r="C91" s="9" t="s">
        <v>32</v>
      </c>
      <c r="D91" s="9" t="s">
        <v>35</v>
      </c>
      <c r="E91" s="9" t="s">
        <v>119</v>
      </c>
      <c r="F91" s="9">
        <v>777972938</v>
      </c>
      <c r="G91" s="9" t="s">
        <v>30</v>
      </c>
      <c r="H91" s="9" t="s">
        <v>13</v>
      </c>
      <c r="I91" s="9" t="s">
        <v>17</v>
      </c>
      <c r="J91" s="9" t="s">
        <v>144</v>
      </c>
      <c r="K91" s="9" t="s">
        <v>145</v>
      </c>
      <c r="L91" s="9">
        <v>1</v>
      </c>
      <c r="M91" s="10">
        <v>17500</v>
      </c>
      <c r="N91" s="10">
        <v>17500</v>
      </c>
      <c r="O91" s="7" t="str">
        <f>"S"&amp;_xlfn.ISOWEEKNUM(Semaine_1[[#This Row],[Date]])</f>
        <v>S9</v>
      </c>
      <c r="P91" t="str">
        <f>TEXT(Semaine_1[[#This Row],[Date]],"MMMM")</f>
        <v>février</v>
      </c>
    </row>
    <row r="92" spans="1:16" x14ac:dyDescent="0.45">
      <c r="A92" s="8">
        <v>46078</v>
      </c>
      <c r="B92" s="9" t="s">
        <v>31</v>
      </c>
      <c r="C92" s="9" t="s">
        <v>32</v>
      </c>
      <c r="D92" s="9" t="s">
        <v>35</v>
      </c>
      <c r="E92" s="9" t="s">
        <v>119</v>
      </c>
      <c r="F92" s="9">
        <v>777972938</v>
      </c>
      <c r="G92" s="9" t="s">
        <v>30</v>
      </c>
      <c r="H92" s="9" t="s">
        <v>13</v>
      </c>
      <c r="I92" s="9" t="s">
        <v>17</v>
      </c>
      <c r="J92" s="9" t="s">
        <v>144</v>
      </c>
      <c r="K92" s="9" t="s">
        <v>37</v>
      </c>
      <c r="L92" s="9">
        <v>2</v>
      </c>
      <c r="M92" s="10">
        <v>26000</v>
      </c>
      <c r="N92" s="10">
        <v>52000</v>
      </c>
      <c r="O92" s="7" t="str">
        <f>"S"&amp;_xlfn.ISOWEEKNUM(Semaine_1[[#This Row],[Date]])</f>
        <v>S9</v>
      </c>
      <c r="P92" t="str">
        <f>TEXT(Semaine_1[[#This Row],[Date]],"MMMM")</f>
        <v>février</v>
      </c>
    </row>
    <row r="93" spans="1:16" x14ac:dyDescent="0.45">
      <c r="A93" s="8">
        <v>46078</v>
      </c>
      <c r="B93" s="9" t="s">
        <v>31</v>
      </c>
      <c r="C93" s="9" t="s">
        <v>32</v>
      </c>
      <c r="D93" s="9" t="s">
        <v>41</v>
      </c>
      <c r="E93" s="9" t="s">
        <v>58</v>
      </c>
      <c r="F93" s="9">
        <v>775894235</v>
      </c>
      <c r="G93" s="9" t="s">
        <v>16</v>
      </c>
      <c r="H93" s="9" t="s">
        <v>13</v>
      </c>
      <c r="I93" s="9" t="s">
        <v>17</v>
      </c>
      <c r="J93" s="9" t="s">
        <v>143</v>
      </c>
      <c r="K93" s="9" t="s">
        <v>56</v>
      </c>
      <c r="L93" s="9">
        <v>25</v>
      </c>
      <c r="M93" s="10">
        <v>12000</v>
      </c>
      <c r="N93" s="10">
        <v>300000</v>
      </c>
      <c r="O93" s="7" t="str">
        <f>"S"&amp;_xlfn.ISOWEEKNUM(Semaine_1[[#This Row],[Date]])</f>
        <v>S9</v>
      </c>
      <c r="P93" t="str">
        <f>TEXT(Semaine_1[[#This Row],[Date]],"MMMM")</f>
        <v>février</v>
      </c>
    </row>
    <row r="94" spans="1:16" x14ac:dyDescent="0.45">
      <c r="A94" s="8">
        <v>46078</v>
      </c>
      <c r="B94" s="9" t="s">
        <v>169</v>
      </c>
      <c r="C94" s="9" t="s">
        <v>67</v>
      </c>
      <c r="D94" s="9" t="s">
        <v>68</v>
      </c>
      <c r="E94" s="9" t="s">
        <v>146</v>
      </c>
      <c r="F94" s="9">
        <v>774379845</v>
      </c>
      <c r="G94" s="9" t="s">
        <v>30</v>
      </c>
      <c r="H94" s="9" t="s">
        <v>13</v>
      </c>
      <c r="I94" s="9" t="s">
        <v>17</v>
      </c>
      <c r="J94" s="9" t="s">
        <v>147</v>
      </c>
      <c r="K94" s="9" t="s">
        <v>37</v>
      </c>
      <c r="L94" s="9">
        <v>25</v>
      </c>
      <c r="M94" s="10">
        <v>26000</v>
      </c>
      <c r="N94" s="10">
        <v>650000</v>
      </c>
      <c r="O94" s="7" t="str">
        <f>"S"&amp;_xlfn.ISOWEEKNUM(Semaine_1[[#This Row],[Date]])</f>
        <v>S9</v>
      </c>
      <c r="P94" t="str">
        <f>TEXT(Semaine_1[[#This Row],[Date]],"MMMM")</f>
        <v>février</v>
      </c>
    </row>
    <row r="95" spans="1:16" ht="28.15" x14ac:dyDescent="0.45">
      <c r="A95" s="8">
        <v>46078</v>
      </c>
      <c r="B95" s="9" t="s">
        <v>170</v>
      </c>
      <c r="C95" s="9" t="s">
        <v>22</v>
      </c>
      <c r="D95" s="9" t="s">
        <v>23</v>
      </c>
      <c r="E95" s="9" t="s">
        <v>142</v>
      </c>
      <c r="F95" s="9">
        <v>778356666</v>
      </c>
      <c r="G95" s="9" t="s">
        <v>16</v>
      </c>
      <c r="H95" s="9" t="s">
        <v>13</v>
      </c>
      <c r="I95" s="9" t="s">
        <v>17</v>
      </c>
      <c r="J95" s="9" t="s">
        <v>21</v>
      </c>
      <c r="K95" s="9" t="s">
        <v>77</v>
      </c>
      <c r="L95" s="9">
        <v>5</v>
      </c>
      <c r="M95" s="10">
        <v>18000</v>
      </c>
      <c r="N95" s="10">
        <v>90000</v>
      </c>
      <c r="O95" s="7" t="str">
        <f>"S"&amp;_xlfn.ISOWEEKNUM(Semaine_1[[#This Row],[Date]])</f>
        <v>S9</v>
      </c>
      <c r="P95" t="str">
        <f>TEXT(Semaine_1[[#This Row],[Date]],"MMMM")</f>
        <v>février</v>
      </c>
    </row>
    <row r="96" spans="1:16" ht="28.15" x14ac:dyDescent="0.45">
      <c r="A96" s="8">
        <v>46078</v>
      </c>
      <c r="B96" s="9" t="s">
        <v>170</v>
      </c>
      <c r="C96" s="9" t="s">
        <v>22</v>
      </c>
      <c r="D96" s="9" t="s">
        <v>23</v>
      </c>
      <c r="E96" s="9" t="s">
        <v>142</v>
      </c>
      <c r="F96" s="9">
        <v>778356666</v>
      </c>
      <c r="G96" s="9" t="s">
        <v>16</v>
      </c>
      <c r="H96" s="9" t="s">
        <v>13</v>
      </c>
      <c r="I96" s="9" t="s">
        <v>17</v>
      </c>
      <c r="J96" s="9" t="s">
        <v>21</v>
      </c>
      <c r="K96" s="9" t="s">
        <v>88</v>
      </c>
      <c r="L96" s="9">
        <v>2</v>
      </c>
      <c r="M96" s="10">
        <v>18000</v>
      </c>
      <c r="N96" s="10">
        <v>36000</v>
      </c>
      <c r="O96" s="7" t="str">
        <f>"S"&amp;_xlfn.ISOWEEKNUM(Semaine_1[[#This Row],[Date]])</f>
        <v>S9</v>
      </c>
      <c r="P96" t="str">
        <f>TEXT(Semaine_1[[#This Row],[Date]],"MMMM")</f>
        <v>février</v>
      </c>
    </row>
    <row r="97" spans="1:16" x14ac:dyDescent="0.45">
      <c r="A97" s="8">
        <v>46079</v>
      </c>
      <c r="B97" s="9" t="s">
        <v>28</v>
      </c>
      <c r="C97" s="9" t="s">
        <v>29</v>
      </c>
      <c r="D97" s="9" t="s">
        <v>148</v>
      </c>
      <c r="E97" s="9" t="s">
        <v>149</v>
      </c>
      <c r="F97" s="9">
        <v>774061052</v>
      </c>
      <c r="G97" s="9" t="s">
        <v>16</v>
      </c>
      <c r="H97" s="9" t="s">
        <v>13</v>
      </c>
      <c r="I97" s="9" t="s">
        <v>17</v>
      </c>
      <c r="J97" s="9" t="s">
        <v>21</v>
      </c>
      <c r="K97" s="9" t="s">
        <v>37</v>
      </c>
      <c r="L97" s="9">
        <v>50</v>
      </c>
      <c r="M97" s="10">
        <v>26000</v>
      </c>
      <c r="N97" s="10">
        <v>1300000</v>
      </c>
      <c r="O97" s="7" t="str">
        <f>"S"&amp;_xlfn.ISOWEEKNUM(Semaine_1[[#This Row],[Date]])</f>
        <v>S9</v>
      </c>
      <c r="P97" t="str">
        <f>TEXT(Semaine_1[[#This Row],[Date]],"MMMM")</f>
        <v>février</v>
      </c>
    </row>
    <row r="98" spans="1:16" ht="28.15" x14ac:dyDescent="0.45">
      <c r="A98" s="8">
        <v>46079</v>
      </c>
      <c r="B98" s="9" t="s">
        <v>25</v>
      </c>
      <c r="C98" s="9" t="s">
        <v>26</v>
      </c>
      <c r="D98" s="9" t="s">
        <v>150</v>
      </c>
      <c r="E98" s="9" t="s">
        <v>151</v>
      </c>
      <c r="F98" s="9">
        <v>774446240</v>
      </c>
      <c r="G98" s="9" t="s">
        <v>16</v>
      </c>
      <c r="H98" s="9" t="s">
        <v>13</v>
      </c>
      <c r="I98" s="9" t="s">
        <v>17</v>
      </c>
      <c r="J98" s="9" t="s">
        <v>27</v>
      </c>
      <c r="K98" s="9" t="s">
        <v>34</v>
      </c>
      <c r="L98" s="9">
        <v>25</v>
      </c>
      <c r="M98" s="10">
        <v>9250</v>
      </c>
      <c r="N98" s="10">
        <v>231250</v>
      </c>
      <c r="O98" s="7" t="str">
        <f>"S"&amp;_xlfn.ISOWEEKNUM(Semaine_1[[#This Row],[Date]])</f>
        <v>S9</v>
      </c>
      <c r="P98" t="str">
        <f>TEXT(Semaine_1[[#This Row],[Date]],"MMMM")</f>
        <v>février</v>
      </c>
    </row>
    <row r="99" spans="1:16" ht="28.15" x14ac:dyDescent="0.45">
      <c r="A99" s="8">
        <v>46079</v>
      </c>
      <c r="B99" s="9" t="s">
        <v>39</v>
      </c>
      <c r="C99" s="9" t="s">
        <v>40</v>
      </c>
      <c r="D99" s="9" t="s">
        <v>43</v>
      </c>
      <c r="E99" s="9" t="s">
        <v>50</v>
      </c>
      <c r="F99" s="9">
        <v>774245132</v>
      </c>
      <c r="G99" s="9" t="s">
        <v>16</v>
      </c>
      <c r="H99" s="9" t="s">
        <v>13</v>
      </c>
      <c r="I99" s="9" t="s">
        <v>17</v>
      </c>
      <c r="J99" s="9" t="s">
        <v>21</v>
      </c>
      <c r="K99" s="9" t="s">
        <v>37</v>
      </c>
      <c r="L99" s="9">
        <v>25</v>
      </c>
      <c r="M99" s="10">
        <v>26000</v>
      </c>
      <c r="N99" s="10">
        <v>650000</v>
      </c>
      <c r="O99" s="7" t="str">
        <f>"S"&amp;_xlfn.ISOWEEKNUM(Semaine_1[[#This Row],[Date]])</f>
        <v>S9</v>
      </c>
      <c r="P99" t="str">
        <f>TEXT(Semaine_1[[#This Row],[Date]],"MMMM")</f>
        <v>février</v>
      </c>
    </row>
    <row r="100" spans="1:16" ht="28.15" x14ac:dyDescent="0.45">
      <c r="A100" s="8">
        <v>46079</v>
      </c>
      <c r="B100" s="9" t="s">
        <v>39</v>
      </c>
      <c r="C100" s="9" t="s">
        <v>40</v>
      </c>
      <c r="D100" s="9" t="s">
        <v>156</v>
      </c>
      <c r="E100" s="9" t="s">
        <v>157</v>
      </c>
      <c r="F100" s="9">
        <v>773777037</v>
      </c>
      <c r="G100" s="9" t="s">
        <v>16</v>
      </c>
      <c r="H100" s="9" t="s">
        <v>13</v>
      </c>
      <c r="I100" s="9" t="s">
        <v>17</v>
      </c>
      <c r="J100" s="9" t="s">
        <v>21</v>
      </c>
      <c r="K100" s="9" t="s">
        <v>37</v>
      </c>
      <c r="L100" s="9">
        <v>25</v>
      </c>
      <c r="M100" s="10">
        <v>26000</v>
      </c>
      <c r="N100" s="10">
        <v>650000</v>
      </c>
      <c r="O100" s="7" t="str">
        <f>"S"&amp;_xlfn.ISOWEEKNUM(Semaine_1[[#This Row],[Date]])</f>
        <v>S9</v>
      </c>
      <c r="P100" t="str">
        <f>TEXT(Semaine_1[[#This Row],[Date]],"MMMM")</f>
        <v>février</v>
      </c>
    </row>
    <row r="101" spans="1:16" ht="28.15" x14ac:dyDescent="0.45">
      <c r="A101" s="8">
        <v>46079</v>
      </c>
      <c r="B101" s="9" t="s">
        <v>170</v>
      </c>
      <c r="C101" s="9" t="s">
        <v>22</v>
      </c>
      <c r="D101" s="9" t="s">
        <v>158</v>
      </c>
      <c r="E101" s="9" t="s">
        <v>159</v>
      </c>
      <c r="F101" s="9">
        <v>774216339</v>
      </c>
      <c r="G101" s="9" t="s">
        <v>16</v>
      </c>
      <c r="H101" s="9" t="s">
        <v>13</v>
      </c>
      <c r="I101" s="9" t="s">
        <v>17</v>
      </c>
      <c r="J101" s="9" t="s">
        <v>21</v>
      </c>
      <c r="K101" s="9" t="s">
        <v>37</v>
      </c>
      <c r="L101" s="9">
        <v>25</v>
      </c>
      <c r="M101" s="10">
        <v>26000</v>
      </c>
      <c r="N101" s="10">
        <v>650000</v>
      </c>
      <c r="O101" s="7" t="str">
        <f>"S"&amp;_xlfn.ISOWEEKNUM(Semaine_1[[#This Row],[Date]])</f>
        <v>S9</v>
      </c>
      <c r="P101" t="str">
        <f>TEXT(Semaine_1[[#This Row],[Date]],"MMMM")</f>
        <v>février</v>
      </c>
    </row>
    <row r="102" spans="1:16" x14ac:dyDescent="0.45">
      <c r="A102" s="8">
        <v>46079</v>
      </c>
      <c r="B102" s="9" t="s">
        <v>28</v>
      </c>
      <c r="C102" s="9" t="s">
        <v>29</v>
      </c>
      <c r="D102" s="9" t="s">
        <v>42</v>
      </c>
      <c r="E102" s="9" t="s">
        <v>160</v>
      </c>
      <c r="F102" s="9">
        <v>772289185</v>
      </c>
      <c r="G102" s="9" t="s">
        <v>16</v>
      </c>
      <c r="H102" s="9" t="s">
        <v>13</v>
      </c>
      <c r="I102" s="9" t="s">
        <v>17</v>
      </c>
      <c r="J102" s="9" t="s">
        <v>21</v>
      </c>
      <c r="K102" s="9" t="s">
        <v>37</v>
      </c>
      <c r="L102" s="9">
        <v>25</v>
      </c>
      <c r="M102" s="10">
        <v>26000</v>
      </c>
      <c r="N102" s="10">
        <v>650000</v>
      </c>
      <c r="O102" s="7" t="str">
        <f>"S"&amp;_xlfn.ISOWEEKNUM(Semaine_1[[#This Row],[Date]])</f>
        <v>S9</v>
      </c>
      <c r="P102" t="str">
        <f>TEXT(Semaine_1[[#This Row],[Date]],"MMMM")</f>
        <v>février</v>
      </c>
    </row>
    <row r="103" spans="1:16" x14ac:dyDescent="0.45">
      <c r="A103" s="8">
        <v>46079</v>
      </c>
      <c r="B103" s="9" t="s">
        <v>28</v>
      </c>
      <c r="C103" s="9" t="s">
        <v>29</v>
      </c>
      <c r="D103" s="9" t="s">
        <v>42</v>
      </c>
      <c r="E103" s="9" t="s">
        <v>160</v>
      </c>
      <c r="F103" s="9">
        <v>772289185</v>
      </c>
      <c r="G103" s="9" t="s">
        <v>16</v>
      </c>
      <c r="H103" s="9" t="s">
        <v>13</v>
      </c>
      <c r="I103" s="9" t="s">
        <v>17</v>
      </c>
      <c r="J103" s="9" t="s">
        <v>21</v>
      </c>
      <c r="K103" s="9" t="s">
        <v>145</v>
      </c>
      <c r="L103" s="9">
        <v>1</v>
      </c>
      <c r="M103" s="10">
        <v>17500</v>
      </c>
      <c r="N103" s="10">
        <v>17500</v>
      </c>
      <c r="O103" s="7" t="str">
        <f>"S"&amp;_xlfn.ISOWEEKNUM(Semaine_1[[#This Row],[Date]])</f>
        <v>S9</v>
      </c>
      <c r="P103" t="str">
        <f>TEXT(Semaine_1[[#This Row],[Date]],"MMMM")</f>
        <v>février</v>
      </c>
    </row>
    <row r="104" spans="1:16" x14ac:dyDescent="0.45">
      <c r="A104" s="8">
        <v>46079</v>
      </c>
      <c r="B104" s="9" t="s">
        <v>28</v>
      </c>
      <c r="C104" s="9" t="s">
        <v>29</v>
      </c>
      <c r="D104" s="9" t="s">
        <v>42</v>
      </c>
      <c r="E104" s="9" t="s">
        <v>160</v>
      </c>
      <c r="F104" s="9">
        <v>772289185</v>
      </c>
      <c r="G104" s="9" t="s">
        <v>16</v>
      </c>
      <c r="H104" s="9" t="s">
        <v>13</v>
      </c>
      <c r="I104" s="9" t="s">
        <v>17</v>
      </c>
      <c r="J104" s="9" t="s">
        <v>21</v>
      </c>
      <c r="K104" s="9" t="s">
        <v>34</v>
      </c>
      <c r="L104" s="9">
        <v>3</v>
      </c>
      <c r="M104" s="10">
        <v>9250</v>
      </c>
      <c r="N104" s="10">
        <v>27750</v>
      </c>
      <c r="O104" s="7" t="str">
        <f>"S"&amp;_xlfn.ISOWEEKNUM(Semaine_1[[#This Row],[Date]])</f>
        <v>S9</v>
      </c>
      <c r="P104" t="str">
        <f>TEXT(Semaine_1[[#This Row],[Date]],"MMMM")</f>
        <v>février</v>
      </c>
    </row>
    <row r="105" spans="1:16" x14ac:dyDescent="0.45">
      <c r="A105" s="8">
        <v>46079</v>
      </c>
      <c r="B105" s="9" t="s">
        <v>28</v>
      </c>
      <c r="C105" s="9" t="s">
        <v>29</v>
      </c>
      <c r="D105" s="9" t="s">
        <v>42</v>
      </c>
      <c r="E105" s="9" t="s">
        <v>160</v>
      </c>
      <c r="F105" s="9">
        <v>772289185</v>
      </c>
      <c r="G105" s="9" t="s">
        <v>16</v>
      </c>
      <c r="H105" s="9" t="s">
        <v>13</v>
      </c>
      <c r="I105" s="9" t="s">
        <v>17</v>
      </c>
      <c r="J105" s="9" t="s">
        <v>21</v>
      </c>
      <c r="K105" s="9" t="s">
        <v>77</v>
      </c>
      <c r="L105" s="9">
        <v>1</v>
      </c>
      <c r="M105" s="10">
        <v>18000</v>
      </c>
      <c r="N105" s="10">
        <v>18000</v>
      </c>
      <c r="O105" s="7" t="str">
        <f>"S"&amp;_xlfn.ISOWEEKNUM(Semaine_1[[#This Row],[Date]])</f>
        <v>S9</v>
      </c>
      <c r="P105" t="str">
        <f>TEXT(Semaine_1[[#This Row],[Date]],"MMMM")</f>
        <v>février</v>
      </c>
    </row>
    <row r="106" spans="1:16" x14ac:dyDescent="0.45">
      <c r="A106" s="8">
        <v>46079</v>
      </c>
      <c r="B106" s="9" t="s">
        <v>28</v>
      </c>
      <c r="C106" s="9" t="s">
        <v>29</v>
      </c>
      <c r="D106" s="9" t="s">
        <v>148</v>
      </c>
      <c r="E106" s="9" t="s">
        <v>161</v>
      </c>
      <c r="F106" s="9">
        <v>771355863</v>
      </c>
      <c r="G106" s="9" t="s">
        <v>16</v>
      </c>
      <c r="H106" s="9" t="s">
        <v>13</v>
      </c>
      <c r="I106" s="9" t="s">
        <v>17</v>
      </c>
      <c r="J106" s="9" t="s">
        <v>21</v>
      </c>
      <c r="K106" s="9" t="s">
        <v>37</v>
      </c>
      <c r="L106" s="9">
        <v>25</v>
      </c>
      <c r="M106" s="10">
        <v>26000</v>
      </c>
      <c r="N106" s="10">
        <v>650000</v>
      </c>
      <c r="O106" s="7" t="str">
        <f>"S"&amp;_xlfn.ISOWEEKNUM(Semaine_1[[#This Row],[Date]])</f>
        <v>S9</v>
      </c>
      <c r="P106" t="str">
        <f>TEXT(Semaine_1[[#This Row],[Date]],"MMMM")</f>
        <v>février</v>
      </c>
    </row>
    <row r="107" spans="1:16" ht="28.15" x14ac:dyDescent="0.45">
      <c r="A107" s="8">
        <v>46079</v>
      </c>
      <c r="B107" s="9" t="s">
        <v>171</v>
      </c>
      <c r="C107" s="9" t="s">
        <v>15</v>
      </c>
      <c r="D107" s="9" t="s">
        <v>162</v>
      </c>
      <c r="E107" s="9" t="s">
        <v>163</v>
      </c>
      <c r="F107" s="9">
        <v>783596501</v>
      </c>
      <c r="G107" s="9" t="s">
        <v>62</v>
      </c>
      <c r="H107" s="9" t="s">
        <v>13</v>
      </c>
      <c r="I107" s="9" t="s">
        <v>17</v>
      </c>
      <c r="J107" s="9" t="s">
        <v>164</v>
      </c>
      <c r="K107" s="9" t="s">
        <v>37</v>
      </c>
      <c r="L107" s="9">
        <v>1</v>
      </c>
      <c r="M107" s="10">
        <v>26000</v>
      </c>
      <c r="N107" s="10">
        <v>26000</v>
      </c>
      <c r="O107" s="7" t="str">
        <f>"S"&amp;_xlfn.ISOWEEKNUM(Semaine_1[[#This Row],[Date]])</f>
        <v>S9</v>
      </c>
      <c r="P107" t="str">
        <f>TEXT(Semaine_1[[#This Row],[Date]],"MMMM")</f>
        <v>février</v>
      </c>
    </row>
    <row r="108" spans="1:16" ht="28.15" x14ac:dyDescent="0.45">
      <c r="A108" s="8">
        <v>46079</v>
      </c>
      <c r="B108" s="9" t="s">
        <v>171</v>
      </c>
      <c r="C108" s="9" t="s">
        <v>15</v>
      </c>
      <c r="D108" s="9" t="s">
        <v>162</v>
      </c>
      <c r="E108" s="9" t="s">
        <v>163</v>
      </c>
      <c r="F108" s="9">
        <v>783596501</v>
      </c>
      <c r="G108" s="9" t="s">
        <v>62</v>
      </c>
      <c r="H108" s="9" t="s">
        <v>13</v>
      </c>
      <c r="I108" s="9" t="s">
        <v>17</v>
      </c>
      <c r="J108" s="9" t="s">
        <v>164</v>
      </c>
      <c r="K108" s="9" t="s">
        <v>34</v>
      </c>
      <c r="L108" s="9">
        <v>2</v>
      </c>
      <c r="M108" s="10">
        <v>9250</v>
      </c>
      <c r="N108" s="10">
        <v>18500</v>
      </c>
      <c r="O108" s="7" t="str">
        <f>"S"&amp;_xlfn.ISOWEEKNUM(Semaine_1[[#This Row],[Date]])</f>
        <v>S9</v>
      </c>
      <c r="P108" t="str">
        <f>TEXT(Semaine_1[[#This Row],[Date]],"MMMM")</f>
        <v>février</v>
      </c>
    </row>
    <row r="109" spans="1:16" ht="28.15" x14ac:dyDescent="0.45">
      <c r="A109" s="8">
        <v>46079</v>
      </c>
      <c r="B109" s="9" t="s">
        <v>171</v>
      </c>
      <c r="C109" s="9" t="s">
        <v>15</v>
      </c>
      <c r="D109" s="9" t="s">
        <v>165</v>
      </c>
      <c r="E109" s="9" t="s">
        <v>115</v>
      </c>
      <c r="F109" s="9">
        <v>761760410</v>
      </c>
      <c r="G109" s="9" t="s">
        <v>110</v>
      </c>
      <c r="H109" s="9" t="s">
        <v>13</v>
      </c>
      <c r="I109" s="9" t="s">
        <v>17</v>
      </c>
      <c r="J109" s="9" t="s">
        <v>166</v>
      </c>
      <c r="K109" s="9" t="s">
        <v>34</v>
      </c>
      <c r="L109" s="9">
        <v>1</v>
      </c>
      <c r="M109" s="10">
        <v>9250</v>
      </c>
      <c r="N109" s="10">
        <v>9250</v>
      </c>
      <c r="O109" s="7" t="str">
        <f>"S"&amp;_xlfn.ISOWEEKNUM(Semaine_1[[#This Row],[Date]])</f>
        <v>S9</v>
      </c>
      <c r="P109" t="str">
        <f>TEXT(Semaine_1[[#This Row],[Date]],"MMMM")</f>
        <v>février</v>
      </c>
    </row>
    <row r="110" spans="1:16" ht="28.15" x14ac:dyDescent="0.45">
      <c r="A110" s="8">
        <v>46079</v>
      </c>
      <c r="B110" s="9" t="s">
        <v>171</v>
      </c>
      <c r="C110" s="9" t="s">
        <v>15</v>
      </c>
      <c r="D110" s="9" t="s">
        <v>165</v>
      </c>
      <c r="E110" s="9" t="s">
        <v>115</v>
      </c>
      <c r="F110" s="9">
        <v>761760410</v>
      </c>
      <c r="G110" s="9" t="s">
        <v>110</v>
      </c>
      <c r="H110" s="9" t="s">
        <v>13</v>
      </c>
      <c r="I110" s="9" t="s">
        <v>17</v>
      </c>
      <c r="J110" s="9" t="s">
        <v>166</v>
      </c>
      <c r="K110" s="9" t="s">
        <v>56</v>
      </c>
      <c r="L110" s="9">
        <v>1</v>
      </c>
      <c r="M110" s="10">
        <v>12000</v>
      </c>
      <c r="N110" s="10">
        <v>12000</v>
      </c>
      <c r="O110" s="7" t="str">
        <f>"S"&amp;_xlfn.ISOWEEKNUM(Semaine_1[[#This Row],[Date]])</f>
        <v>S9</v>
      </c>
      <c r="P110" t="str">
        <f>TEXT(Semaine_1[[#This Row],[Date]],"MMMM")</f>
        <v>février</v>
      </c>
    </row>
    <row r="111" spans="1:16" ht="28.15" x14ac:dyDescent="0.45">
      <c r="A111" s="8">
        <v>46080</v>
      </c>
      <c r="B111" s="9" t="s">
        <v>25</v>
      </c>
      <c r="C111" s="9" t="s">
        <v>26</v>
      </c>
      <c r="D111" s="9" t="s">
        <v>38</v>
      </c>
      <c r="E111" s="9" t="s">
        <v>167</v>
      </c>
      <c r="F111" s="9">
        <v>776175166</v>
      </c>
      <c r="G111" s="9" t="s">
        <v>16</v>
      </c>
      <c r="H111" s="9" t="s">
        <v>13</v>
      </c>
      <c r="I111" s="9" t="s">
        <v>17</v>
      </c>
      <c r="J111" s="9" t="s">
        <v>81</v>
      </c>
      <c r="K111" s="9" t="s">
        <v>37</v>
      </c>
      <c r="L111" s="9">
        <v>100</v>
      </c>
      <c r="M111" s="10">
        <v>26000</v>
      </c>
      <c r="N111" s="10">
        <v>2600000</v>
      </c>
      <c r="O111" s="7" t="str">
        <f>"S"&amp;_xlfn.ISOWEEKNUM(Semaine_1[[#This Row],[Date]])</f>
        <v>S9</v>
      </c>
      <c r="P111" t="str">
        <f>TEXT(Semaine_1[[#This Row],[Date]],"MMMM")</f>
        <v>février</v>
      </c>
    </row>
    <row r="112" spans="1:16" x14ac:dyDescent="0.45">
      <c r="A112" s="8">
        <v>46079</v>
      </c>
      <c r="B112" s="9" t="s">
        <v>31</v>
      </c>
      <c r="C112" s="9" t="s">
        <v>32</v>
      </c>
      <c r="D112" s="9" t="s">
        <v>35</v>
      </c>
      <c r="E112" s="9" t="s">
        <v>139</v>
      </c>
      <c r="F112" s="9">
        <v>773817561</v>
      </c>
      <c r="G112" s="9" t="s">
        <v>16</v>
      </c>
      <c r="H112" s="9" t="s">
        <v>13</v>
      </c>
      <c r="I112" s="9" t="s">
        <v>17</v>
      </c>
      <c r="J112" s="9" t="s">
        <v>168</v>
      </c>
      <c r="K112" s="9" t="s">
        <v>107</v>
      </c>
      <c r="L112" s="9">
        <v>31</v>
      </c>
      <c r="M112" s="10">
        <v>6000</v>
      </c>
      <c r="N112" s="10">
        <v>186000</v>
      </c>
      <c r="O112" s="7" t="str">
        <f>"S"&amp;_xlfn.ISOWEEKNUM(Semaine_1[[#This Row],[Date]])</f>
        <v>S9</v>
      </c>
      <c r="P112" t="str">
        <f>TEXT(Semaine_1[[#This Row],[Date]],"MMMM")</f>
        <v>février</v>
      </c>
    </row>
    <row r="113" spans="1:16" x14ac:dyDescent="0.45">
      <c r="A113" s="8">
        <v>46079</v>
      </c>
      <c r="B113" s="9" t="s">
        <v>31</v>
      </c>
      <c r="C113" s="9" t="s">
        <v>32</v>
      </c>
      <c r="D113" s="9" t="s">
        <v>35</v>
      </c>
      <c r="E113" s="9" t="s">
        <v>139</v>
      </c>
      <c r="F113" s="9">
        <v>773817561</v>
      </c>
      <c r="G113" s="9" t="s">
        <v>16</v>
      </c>
      <c r="H113" s="9" t="s">
        <v>13</v>
      </c>
      <c r="I113" s="9" t="s">
        <v>17</v>
      </c>
      <c r="J113" s="9" t="s">
        <v>168</v>
      </c>
      <c r="K113" s="9" t="s">
        <v>37</v>
      </c>
      <c r="L113" s="9">
        <v>3</v>
      </c>
      <c r="M113" s="10">
        <v>26000</v>
      </c>
      <c r="N113" s="10">
        <v>78000</v>
      </c>
      <c r="O113" s="7" t="str">
        <f>"S"&amp;_xlfn.ISOWEEKNUM(Semaine_1[[#This Row],[Date]])</f>
        <v>S9</v>
      </c>
      <c r="P113" t="str">
        <f>TEXT(Semaine_1[[#This Row],[Date]],"MMMM")</f>
        <v>février</v>
      </c>
    </row>
    <row r="114" spans="1:16" x14ac:dyDescent="0.45">
      <c r="A114" s="8">
        <v>46079</v>
      </c>
      <c r="B114" s="9" t="s">
        <v>31</v>
      </c>
      <c r="C114" s="9" t="s">
        <v>32</v>
      </c>
      <c r="D114" s="9" t="s">
        <v>153</v>
      </c>
      <c r="E114" s="9" t="s">
        <v>154</v>
      </c>
      <c r="F114" s="9">
        <v>775079426</v>
      </c>
      <c r="G114" s="9" t="s">
        <v>30</v>
      </c>
      <c r="H114" s="9" t="s">
        <v>155</v>
      </c>
      <c r="I114" s="9" t="s">
        <v>17</v>
      </c>
      <c r="J114" s="9" t="s">
        <v>143</v>
      </c>
      <c r="K114" s="9" t="s">
        <v>56</v>
      </c>
      <c r="L114" s="9">
        <v>1</v>
      </c>
      <c r="M114" s="10">
        <v>12000</v>
      </c>
      <c r="N114" s="10">
        <v>12000</v>
      </c>
      <c r="O114" s="7" t="str">
        <f>"S"&amp;_xlfn.ISOWEEKNUM(Semaine_1[[#This Row],[Date]])</f>
        <v>S9</v>
      </c>
      <c r="P114" t="str">
        <f>TEXT(Semaine_1[[#This Row],[Date]],"MMMM")</f>
        <v>février</v>
      </c>
    </row>
    <row r="115" spans="1:16" x14ac:dyDescent="0.45">
      <c r="A115" s="8">
        <v>46079</v>
      </c>
      <c r="B115" s="9" t="s">
        <v>31</v>
      </c>
      <c r="C115" s="9" t="s">
        <v>32</v>
      </c>
      <c r="D115" s="9" t="s">
        <v>47</v>
      </c>
      <c r="E115" s="9" t="s">
        <v>152</v>
      </c>
      <c r="F115" s="9">
        <v>771166914</v>
      </c>
      <c r="G115" s="9" t="s">
        <v>30</v>
      </c>
      <c r="H115" s="9" t="s">
        <v>13</v>
      </c>
      <c r="I115" s="9" t="s">
        <v>17</v>
      </c>
      <c r="J115" s="9" t="s">
        <v>33</v>
      </c>
      <c r="K115" s="9" t="s">
        <v>37</v>
      </c>
      <c r="L115" s="9">
        <v>1</v>
      </c>
      <c r="M115" s="10">
        <v>26000</v>
      </c>
      <c r="N115" s="10">
        <v>26000</v>
      </c>
      <c r="O115" s="7" t="str">
        <f>"S"&amp;_xlfn.ISOWEEKNUM(Semaine_1[[#This Row],[Date]])</f>
        <v>S9</v>
      </c>
      <c r="P115" t="str">
        <f>TEXT(Semaine_1[[#This Row],[Date]],"MMMM")</f>
        <v>février</v>
      </c>
    </row>
    <row r="116" spans="1:16" ht="28.15" x14ac:dyDescent="0.45">
      <c r="A116" s="8">
        <v>46083</v>
      </c>
      <c r="B116" s="9" t="s">
        <v>14</v>
      </c>
      <c r="C116" s="9" t="s">
        <v>15</v>
      </c>
      <c r="D116" s="9" t="s">
        <v>59</v>
      </c>
      <c r="E116" s="9" t="s">
        <v>94</v>
      </c>
      <c r="F116" s="9">
        <v>776712564</v>
      </c>
      <c r="G116" s="9" t="s">
        <v>30</v>
      </c>
      <c r="H116" s="9" t="s">
        <v>13</v>
      </c>
      <c r="I116" s="9" t="s">
        <v>17</v>
      </c>
      <c r="J116" s="9" t="s">
        <v>65</v>
      </c>
      <c r="K116" s="9" t="s">
        <v>88</v>
      </c>
      <c r="L116" s="9">
        <v>7</v>
      </c>
      <c r="M116" s="10">
        <v>18000</v>
      </c>
      <c r="N116" s="10">
        <v>126000</v>
      </c>
      <c r="O116" s="7" t="str">
        <f>"S"&amp;_xlfn.ISOWEEKNUM(Semaine_1[[#This Row],[Date]])</f>
        <v>S10</v>
      </c>
      <c r="P116" t="str">
        <f>TEXT(Semaine_1[[#This Row],[Date]],"MMMM")</f>
        <v>mars</v>
      </c>
    </row>
    <row r="117" spans="1:16" ht="28.15" x14ac:dyDescent="0.45">
      <c r="A117" s="8">
        <v>46083</v>
      </c>
      <c r="B117" s="9" t="s">
        <v>14</v>
      </c>
      <c r="C117" s="9" t="s">
        <v>15</v>
      </c>
      <c r="D117" s="9" t="s">
        <v>59</v>
      </c>
      <c r="E117" s="9" t="s">
        <v>94</v>
      </c>
      <c r="F117" s="9">
        <v>776712564</v>
      </c>
      <c r="G117" s="9" t="s">
        <v>30</v>
      </c>
      <c r="H117" s="9" t="s">
        <v>13</v>
      </c>
      <c r="I117" s="9" t="s">
        <v>17</v>
      </c>
      <c r="J117" s="9" t="s">
        <v>65</v>
      </c>
      <c r="K117" s="9" t="s">
        <v>77</v>
      </c>
      <c r="L117" s="9">
        <v>3</v>
      </c>
      <c r="M117" s="10">
        <v>18000</v>
      </c>
      <c r="N117" s="10">
        <v>54000</v>
      </c>
      <c r="O117" s="7" t="str">
        <f>"S"&amp;_xlfn.ISOWEEKNUM(Semaine_1[[#This Row],[Date]])</f>
        <v>S10</v>
      </c>
      <c r="P117" t="str">
        <f>TEXT(Semaine_1[[#This Row],[Date]],"MMMM")</f>
        <v>mars</v>
      </c>
    </row>
    <row r="118" spans="1:16" ht="28.15" x14ac:dyDescent="0.45">
      <c r="A118" s="8">
        <v>46083</v>
      </c>
      <c r="B118" s="9" t="s">
        <v>14</v>
      </c>
      <c r="C118" s="9" t="s">
        <v>15</v>
      </c>
      <c r="D118" s="9" t="s">
        <v>59</v>
      </c>
      <c r="E118" s="9" t="s">
        <v>94</v>
      </c>
      <c r="F118" s="9">
        <v>776712564</v>
      </c>
      <c r="G118" s="9" t="s">
        <v>30</v>
      </c>
      <c r="H118" s="9" t="s">
        <v>13</v>
      </c>
      <c r="I118" s="9" t="s">
        <v>17</v>
      </c>
      <c r="J118" s="9" t="s">
        <v>65</v>
      </c>
      <c r="K118" s="9" t="s">
        <v>24</v>
      </c>
      <c r="L118" s="9">
        <v>1</v>
      </c>
      <c r="M118" s="10">
        <v>9750</v>
      </c>
      <c r="N118" s="10">
        <v>9750</v>
      </c>
      <c r="O118" s="7" t="str">
        <f>"S"&amp;_xlfn.ISOWEEKNUM(Semaine_1[[#This Row],[Date]])</f>
        <v>S10</v>
      </c>
      <c r="P118" t="str">
        <f>TEXT(Semaine_1[[#This Row],[Date]],"MMMM")</f>
        <v>mars</v>
      </c>
    </row>
    <row r="119" spans="1:16" ht="28.15" x14ac:dyDescent="0.45">
      <c r="A119" s="8">
        <v>46083</v>
      </c>
      <c r="B119" s="9" t="s">
        <v>14</v>
      </c>
      <c r="C119" s="9" t="s">
        <v>15</v>
      </c>
      <c r="D119" s="9" t="s">
        <v>59</v>
      </c>
      <c r="E119" s="9" t="s">
        <v>135</v>
      </c>
      <c r="F119" s="9">
        <v>779676016</v>
      </c>
      <c r="G119" s="9" t="s">
        <v>16</v>
      </c>
      <c r="H119" s="9" t="s">
        <v>13</v>
      </c>
      <c r="I119" s="9" t="s">
        <v>17</v>
      </c>
      <c r="J119" s="9" t="s">
        <v>65</v>
      </c>
      <c r="K119" s="9" t="s">
        <v>56</v>
      </c>
      <c r="L119" s="9">
        <v>25</v>
      </c>
      <c r="M119" s="10">
        <v>11000</v>
      </c>
      <c r="N119" s="10">
        <v>275000</v>
      </c>
      <c r="O119" s="7" t="str">
        <f>"S"&amp;_xlfn.ISOWEEKNUM(Semaine_1[[#This Row],[Date]])</f>
        <v>S10</v>
      </c>
      <c r="P119" t="str">
        <f>TEXT(Semaine_1[[#This Row],[Date]],"MMMM")</f>
        <v>mars</v>
      </c>
    </row>
    <row r="120" spans="1:16" ht="28.15" x14ac:dyDescent="0.45">
      <c r="A120" s="8">
        <v>46083</v>
      </c>
      <c r="B120" s="9" t="s">
        <v>25</v>
      </c>
      <c r="C120" s="9" t="s">
        <v>26</v>
      </c>
      <c r="D120" s="9" t="s">
        <v>82</v>
      </c>
      <c r="E120" s="9" t="s">
        <v>152</v>
      </c>
      <c r="F120" s="9">
        <v>778976507</v>
      </c>
      <c r="G120" s="9" t="s">
        <v>16</v>
      </c>
      <c r="H120" s="9" t="s">
        <v>13</v>
      </c>
      <c r="I120" s="9" t="s">
        <v>17</v>
      </c>
      <c r="J120" s="9" t="s">
        <v>81</v>
      </c>
      <c r="K120" s="9" t="s">
        <v>37</v>
      </c>
      <c r="L120" s="9">
        <v>25</v>
      </c>
      <c r="M120" s="10">
        <v>26000</v>
      </c>
      <c r="N120" s="10">
        <v>650000</v>
      </c>
      <c r="O120" s="7" t="str">
        <f>"S"&amp;_xlfn.ISOWEEKNUM(Semaine_1[[#This Row],[Date]])</f>
        <v>S10</v>
      </c>
      <c r="P120" t="str">
        <f>TEXT(Semaine_1[[#This Row],[Date]],"MMMM")</f>
        <v>mars</v>
      </c>
    </row>
    <row r="121" spans="1:16" ht="28.15" x14ac:dyDescent="0.45">
      <c r="A121" s="8">
        <v>46083</v>
      </c>
      <c r="B121" s="9" t="s">
        <v>25</v>
      </c>
      <c r="C121" s="9" t="s">
        <v>26</v>
      </c>
      <c r="D121" s="9" t="s">
        <v>82</v>
      </c>
      <c r="E121" s="9" t="s">
        <v>172</v>
      </c>
      <c r="F121" s="9">
        <v>771010134</v>
      </c>
      <c r="G121" s="9" t="s">
        <v>30</v>
      </c>
      <c r="H121" s="9" t="s">
        <v>13</v>
      </c>
      <c r="I121" s="9" t="s">
        <v>17</v>
      </c>
      <c r="J121" s="9" t="s">
        <v>122</v>
      </c>
      <c r="K121" s="9" t="s">
        <v>37</v>
      </c>
      <c r="L121" s="9">
        <v>100</v>
      </c>
      <c r="M121" s="10">
        <v>26000</v>
      </c>
      <c r="N121" s="10">
        <v>2600000</v>
      </c>
      <c r="O121" s="7" t="str">
        <f>"S"&amp;_xlfn.ISOWEEKNUM(Semaine_1[[#This Row],[Date]])</f>
        <v>S10</v>
      </c>
      <c r="P121" t="str">
        <f>TEXT(Semaine_1[[#This Row],[Date]],"MMMM")</f>
        <v>mars</v>
      </c>
    </row>
    <row r="122" spans="1:16" ht="28.15" x14ac:dyDescent="0.45">
      <c r="A122" s="8">
        <v>46084</v>
      </c>
      <c r="B122" s="9" t="s">
        <v>39</v>
      </c>
      <c r="C122" s="9" t="s">
        <v>40</v>
      </c>
      <c r="D122" s="9" t="s">
        <v>44</v>
      </c>
      <c r="E122" s="9" t="s">
        <v>173</v>
      </c>
      <c r="F122" s="9">
        <v>784537895</v>
      </c>
      <c r="G122" s="9" t="s">
        <v>16</v>
      </c>
      <c r="H122" s="9" t="s">
        <v>13</v>
      </c>
      <c r="I122" s="9" t="s">
        <v>17</v>
      </c>
      <c r="J122" s="9" t="s">
        <v>21</v>
      </c>
      <c r="K122" s="9" t="s">
        <v>34</v>
      </c>
      <c r="L122" s="9">
        <v>50</v>
      </c>
      <c r="M122" s="10">
        <v>9000</v>
      </c>
      <c r="N122" s="10">
        <v>450000</v>
      </c>
      <c r="O122" s="7" t="str">
        <f>"S"&amp;_xlfn.ISOWEEKNUM(Semaine_1[[#This Row],[Date]])</f>
        <v>S10</v>
      </c>
      <c r="P122" t="str">
        <f>TEXT(Semaine_1[[#This Row],[Date]],"MMMM")</f>
        <v>mars</v>
      </c>
    </row>
    <row r="123" spans="1:16" ht="28.15" x14ac:dyDescent="0.45">
      <c r="A123" s="8">
        <v>46084</v>
      </c>
      <c r="B123" s="9" t="s">
        <v>39</v>
      </c>
      <c r="C123" s="9" t="s">
        <v>40</v>
      </c>
      <c r="D123" s="9" t="s">
        <v>44</v>
      </c>
      <c r="E123" s="9" t="s">
        <v>174</v>
      </c>
      <c r="F123" s="9">
        <v>775586604</v>
      </c>
      <c r="G123" s="9" t="s">
        <v>16</v>
      </c>
      <c r="H123" s="9" t="s">
        <v>13</v>
      </c>
      <c r="I123" s="9" t="s">
        <v>17</v>
      </c>
      <c r="J123" s="9" t="s">
        <v>21</v>
      </c>
      <c r="K123" s="9" t="s">
        <v>34</v>
      </c>
      <c r="L123" s="9">
        <v>50</v>
      </c>
      <c r="M123" s="10">
        <v>9000</v>
      </c>
      <c r="N123" s="10">
        <v>450000</v>
      </c>
      <c r="O123" s="7" t="str">
        <f>"S"&amp;_xlfn.ISOWEEKNUM(Semaine_1[[#This Row],[Date]])</f>
        <v>S10</v>
      </c>
      <c r="P123" t="str">
        <f>TEXT(Semaine_1[[#This Row],[Date]],"MMMM")</f>
        <v>mars</v>
      </c>
    </row>
    <row r="124" spans="1:16" x14ac:dyDescent="0.45">
      <c r="A124" s="8">
        <v>46088</v>
      </c>
      <c r="B124" s="9" t="s">
        <v>28</v>
      </c>
      <c r="C124" s="9" t="s">
        <v>29</v>
      </c>
      <c r="D124" s="9" t="s">
        <v>175</v>
      </c>
      <c r="E124" s="9" t="s">
        <v>176</v>
      </c>
      <c r="F124" s="9">
        <v>776172529</v>
      </c>
      <c r="G124" s="9" t="s">
        <v>30</v>
      </c>
      <c r="H124" s="9" t="s">
        <v>13</v>
      </c>
      <c r="I124" s="9" t="s">
        <v>17</v>
      </c>
      <c r="J124" s="9" t="s">
        <v>21</v>
      </c>
      <c r="K124" s="9" t="s">
        <v>34</v>
      </c>
      <c r="L124" s="9">
        <v>1</v>
      </c>
      <c r="M124" s="10">
        <v>9250</v>
      </c>
      <c r="N124" s="10">
        <v>9250</v>
      </c>
      <c r="O124" s="7" t="str">
        <f>"S"&amp;_xlfn.ISOWEEKNUM(Semaine_1[[#This Row],[Date]])</f>
        <v>S10</v>
      </c>
      <c r="P124" t="str">
        <f>TEXT(Semaine_1[[#This Row],[Date]],"MMMM")</f>
        <v>mars</v>
      </c>
    </row>
    <row r="125" spans="1:16" x14ac:dyDescent="0.45">
      <c r="A125" s="8">
        <v>46088</v>
      </c>
      <c r="B125" s="9" t="s">
        <v>28</v>
      </c>
      <c r="C125" s="9" t="s">
        <v>29</v>
      </c>
      <c r="D125" s="9" t="s">
        <v>175</v>
      </c>
      <c r="E125" s="9" t="s">
        <v>176</v>
      </c>
      <c r="F125" s="9">
        <v>776172529</v>
      </c>
      <c r="G125" s="9" t="s">
        <v>30</v>
      </c>
      <c r="H125" s="9" t="s">
        <v>13</v>
      </c>
      <c r="I125" s="9" t="s">
        <v>17</v>
      </c>
      <c r="J125" s="9" t="s">
        <v>21</v>
      </c>
      <c r="K125" s="9" t="s">
        <v>145</v>
      </c>
      <c r="L125" s="9">
        <v>1</v>
      </c>
      <c r="M125" s="10">
        <v>17500</v>
      </c>
      <c r="N125" s="10">
        <v>17500</v>
      </c>
      <c r="O125" s="7" t="str">
        <f>"S"&amp;_xlfn.ISOWEEKNUM(Semaine_1[[#This Row],[Date]])</f>
        <v>S10</v>
      </c>
      <c r="P125" t="str">
        <f>TEXT(Semaine_1[[#This Row],[Date]],"MMMM")</f>
        <v>mars</v>
      </c>
    </row>
    <row r="126" spans="1:16" x14ac:dyDescent="0.45">
      <c r="A126" s="8">
        <v>46088</v>
      </c>
      <c r="B126" s="9" t="s">
        <v>28</v>
      </c>
      <c r="C126" s="9" t="s">
        <v>29</v>
      </c>
      <c r="D126" s="9" t="s">
        <v>175</v>
      </c>
      <c r="E126" s="9" t="s">
        <v>176</v>
      </c>
      <c r="F126" s="9">
        <v>776172529</v>
      </c>
      <c r="G126" s="9" t="s">
        <v>30</v>
      </c>
      <c r="H126" s="9" t="s">
        <v>13</v>
      </c>
      <c r="I126" s="9" t="s">
        <v>17</v>
      </c>
      <c r="J126" s="9" t="s">
        <v>21</v>
      </c>
      <c r="K126" s="9" t="s">
        <v>36</v>
      </c>
      <c r="L126" s="9">
        <v>11</v>
      </c>
      <c r="M126" s="10">
        <v>29000</v>
      </c>
      <c r="N126" s="10">
        <v>319000</v>
      </c>
      <c r="O126" s="7" t="str">
        <f>"S"&amp;_xlfn.ISOWEEKNUM(Semaine_1[[#This Row],[Date]])</f>
        <v>S10</v>
      </c>
      <c r="P126" t="str">
        <f>TEXT(Semaine_1[[#This Row],[Date]],"MMMM")</f>
        <v>mars</v>
      </c>
    </row>
    <row r="127" spans="1:16" x14ac:dyDescent="0.45">
      <c r="A127" s="8">
        <v>46088</v>
      </c>
      <c r="B127" s="9" t="s">
        <v>28</v>
      </c>
      <c r="C127" s="9" t="s">
        <v>29</v>
      </c>
      <c r="D127" s="9" t="s">
        <v>175</v>
      </c>
      <c r="E127" s="9" t="s">
        <v>176</v>
      </c>
      <c r="F127" s="9">
        <v>776172529</v>
      </c>
      <c r="G127" s="9" t="s">
        <v>30</v>
      </c>
      <c r="H127" s="9" t="s">
        <v>13</v>
      </c>
      <c r="I127" s="9" t="s">
        <v>17</v>
      </c>
      <c r="J127" s="9" t="s">
        <v>21</v>
      </c>
      <c r="K127" s="9" t="s">
        <v>37</v>
      </c>
      <c r="L127" s="9">
        <v>14</v>
      </c>
      <c r="M127" s="10">
        <v>26000</v>
      </c>
      <c r="N127" s="10">
        <v>364000</v>
      </c>
      <c r="O127" s="7" t="str">
        <f>"S"&amp;_xlfn.ISOWEEKNUM(Semaine_1[[#This Row],[Date]])</f>
        <v>S10</v>
      </c>
      <c r="P127" t="str">
        <f>TEXT(Semaine_1[[#This Row],[Date]],"MMMM")</f>
        <v>mars</v>
      </c>
    </row>
    <row r="128" spans="1:16" ht="28.15" x14ac:dyDescent="0.45">
      <c r="A128" s="8">
        <v>46087</v>
      </c>
      <c r="B128" s="9" t="s">
        <v>79</v>
      </c>
      <c r="C128" s="9" t="s">
        <v>22</v>
      </c>
      <c r="D128" s="9" t="s">
        <v>23</v>
      </c>
      <c r="E128" s="9" t="s">
        <v>45</v>
      </c>
      <c r="F128" s="9">
        <v>775273147</v>
      </c>
      <c r="G128" s="9" t="s">
        <v>16</v>
      </c>
      <c r="H128" s="9" t="s">
        <v>13</v>
      </c>
      <c r="I128" s="9" t="s">
        <v>17</v>
      </c>
      <c r="J128" s="9" t="s">
        <v>21</v>
      </c>
      <c r="K128" s="9" t="s">
        <v>37</v>
      </c>
      <c r="L128" s="9">
        <v>1</v>
      </c>
      <c r="M128" s="10">
        <v>26000</v>
      </c>
      <c r="N128" s="10">
        <v>26000</v>
      </c>
      <c r="O128" s="7" t="str">
        <f>"S"&amp;_xlfn.ISOWEEKNUM(Semaine_1[[#This Row],[Date]])</f>
        <v>S10</v>
      </c>
      <c r="P128" t="str">
        <f>TEXT(Semaine_1[[#This Row],[Date]],"MMMM")</f>
        <v>mars</v>
      </c>
    </row>
    <row r="129" spans="1:16" ht="28.15" x14ac:dyDescent="0.45">
      <c r="A129" s="8">
        <v>46087</v>
      </c>
      <c r="B129" s="9" t="s">
        <v>79</v>
      </c>
      <c r="C129" s="9" t="s">
        <v>22</v>
      </c>
      <c r="D129" s="9" t="s">
        <v>23</v>
      </c>
      <c r="E129" s="9" t="s">
        <v>45</v>
      </c>
      <c r="F129" s="9">
        <v>775273147</v>
      </c>
      <c r="G129" s="9" t="s">
        <v>16</v>
      </c>
      <c r="H129" s="9" t="s">
        <v>13</v>
      </c>
      <c r="I129" s="9" t="s">
        <v>17</v>
      </c>
      <c r="J129" s="9" t="s">
        <v>21</v>
      </c>
      <c r="K129" s="9" t="s">
        <v>107</v>
      </c>
      <c r="L129" s="9">
        <v>25</v>
      </c>
      <c r="M129" s="10">
        <v>6000</v>
      </c>
      <c r="N129" s="10">
        <v>150000</v>
      </c>
      <c r="O129" s="7" t="str">
        <f>"S"&amp;_xlfn.ISOWEEKNUM(Semaine_1[[#This Row],[Date]])</f>
        <v>S10</v>
      </c>
      <c r="P129" t="str">
        <f>TEXT(Semaine_1[[#This Row],[Date]],"MMMM")</f>
        <v>mars</v>
      </c>
    </row>
    <row r="130" spans="1:16" ht="28.15" x14ac:dyDescent="0.45">
      <c r="A130" s="8">
        <v>46087</v>
      </c>
      <c r="B130" s="9" t="s">
        <v>14</v>
      </c>
      <c r="C130" s="9" t="s">
        <v>15</v>
      </c>
      <c r="D130" s="9" t="s">
        <v>177</v>
      </c>
      <c r="E130" s="9" t="s">
        <v>178</v>
      </c>
      <c r="F130" s="9">
        <v>775411988</v>
      </c>
      <c r="G130" s="9" t="s">
        <v>30</v>
      </c>
      <c r="H130" s="9" t="s">
        <v>13</v>
      </c>
      <c r="I130" s="9" t="s">
        <v>17</v>
      </c>
      <c r="J130" s="9" t="s">
        <v>65</v>
      </c>
      <c r="K130" s="9" t="s">
        <v>64</v>
      </c>
      <c r="L130" s="9">
        <v>4</v>
      </c>
      <c r="M130" s="10">
        <v>33500</v>
      </c>
      <c r="N130" s="10">
        <v>134000</v>
      </c>
      <c r="O130" s="7" t="str">
        <f>"S"&amp;_xlfn.ISOWEEKNUM(Semaine_1[[#This Row],[Date]])</f>
        <v>S10</v>
      </c>
      <c r="P130" t="str">
        <f>TEXT(Semaine_1[[#This Row],[Date]],"MMMM")</f>
        <v>mars</v>
      </c>
    </row>
    <row r="131" spans="1:16" x14ac:dyDescent="0.45">
      <c r="A131" s="8">
        <v>46087</v>
      </c>
      <c r="B131" s="9" t="s">
        <v>31</v>
      </c>
      <c r="C131" s="9" t="s">
        <v>32</v>
      </c>
      <c r="D131" s="9" t="s">
        <v>153</v>
      </c>
      <c r="E131" s="9" t="s">
        <v>154</v>
      </c>
      <c r="F131" s="9">
        <v>775079426</v>
      </c>
      <c r="G131" s="9" t="s">
        <v>30</v>
      </c>
      <c r="H131" s="9" t="s">
        <v>13</v>
      </c>
      <c r="I131" s="9" t="s">
        <v>17</v>
      </c>
      <c r="J131" s="9" t="s">
        <v>33</v>
      </c>
      <c r="K131" s="9" t="s">
        <v>56</v>
      </c>
      <c r="L131" s="9">
        <v>1</v>
      </c>
      <c r="M131" s="10">
        <v>12000</v>
      </c>
      <c r="N131" s="10">
        <v>12000</v>
      </c>
      <c r="O131" s="7" t="str">
        <f>"S"&amp;_xlfn.ISOWEEKNUM(Semaine_1[[#This Row],[Date]])</f>
        <v>S10</v>
      </c>
      <c r="P131" t="str">
        <f>TEXT(Semaine_1[[#This Row],[Date]],"MMMM")</f>
        <v>mars</v>
      </c>
    </row>
    <row r="132" spans="1:16" x14ac:dyDescent="0.45">
      <c r="A132" s="8">
        <v>46087</v>
      </c>
      <c r="B132" s="9" t="s">
        <v>31</v>
      </c>
      <c r="C132" s="9" t="s">
        <v>32</v>
      </c>
      <c r="D132" s="9" t="s">
        <v>179</v>
      </c>
      <c r="E132" s="9" t="s">
        <v>180</v>
      </c>
      <c r="F132" s="9">
        <v>775014335</v>
      </c>
      <c r="G132" s="9" t="s">
        <v>30</v>
      </c>
      <c r="H132" s="9" t="s">
        <v>13</v>
      </c>
      <c r="I132" s="9" t="s">
        <v>17</v>
      </c>
      <c r="J132" s="9" t="s">
        <v>33</v>
      </c>
      <c r="K132" s="9" t="s">
        <v>56</v>
      </c>
      <c r="L132" s="9">
        <v>1</v>
      </c>
      <c r="M132" s="10">
        <v>12000</v>
      </c>
      <c r="N132" s="10">
        <v>12000</v>
      </c>
      <c r="O132" s="7" t="str">
        <f>"S"&amp;_xlfn.ISOWEEKNUM(Semaine_1[[#This Row],[Date]])</f>
        <v>S10</v>
      </c>
      <c r="P132" t="str">
        <f>TEXT(Semaine_1[[#This Row],[Date]],"MMMM")</f>
        <v>mars</v>
      </c>
    </row>
    <row r="133" spans="1:16" ht="28.15" x14ac:dyDescent="0.45">
      <c r="A133" s="8">
        <v>46086</v>
      </c>
      <c r="B133" s="9" t="s">
        <v>79</v>
      </c>
      <c r="C133" s="9" t="s">
        <v>22</v>
      </c>
      <c r="D133" s="9" t="s">
        <v>23</v>
      </c>
      <c r="E133" s="9" t="s">
        <v>181</v>
      </c>
      <c r="F133" s="9">
        <v>772899294</v>
      </c>
      <c r="G133" s="9" t="s">
        <v>16</v>
      </c>
      <c r="H133" s="9" t="s">
        <v>13</v>
      </c>
      <c r="I133" s="9" t="s">
        <v>17</v>
      </c>
      <c r="J133" s="9" t="s">
        <v>21</v>
      </c>
      <c r="K133" s="9" t="s">
        <v>37</v>
      </c>
      <c r="L133" s="9">
        <v>25</v>
      </c>
      <c r="M133" s="10">
        <v>26000</v>
      </c>
      <c r="N133" s="10">
        <v>650000</v>
      </c>
      <c r="O133" s="7" t="str">
        <f>"S"&amp;_xlfn.ISOWEEKNUM(Semaine_1[[#This Row],[Date]])</f>
        <v>S10</v>
      </c>
      <c r="P133" t="str">
        <f>TEXT(Semaine_1[[#This Row],[Date]],"MMMM")</f>
        <v>mars</v>
      </c>
    </row>
    <row r="134" spans="1:16" x14ac:dyDescent="0.45">
      <c r="A134" s="8">
        <v>46086</v>
      </c>
      <c r="B134" s="9" t="s">
        <v>31</v>
      </c>
      <c r="C134" s="9" t="s">
        <v>32</v>
      </c>
      <c r="D134" s="9" t="s">
        <v>35</v>
      </c>
      <c r="E134" s="9" t="s">
        <v>182</v>
      </c>
      <c r="F134" s="9">
        <v>775544532</v>
      </c>
      <c r="G134" s="9" t="s">
        <v>30</v>
      </c>
      <c r="H134" s="9" t="s">
        <v>13</v>
      </c>
      <c r="I134" s="9" t="s">
        <v>17</v>
      </c>
      <c r="J134" s="9" t="s">
        <v>183</v>
      </c>
      <c r="K134" s="9" t="s">
        <v>37</v>
      </c>
      <c r="L134" s="9">
        <v>24</v>
      </c>
      <c r="M134" s="10">
        <v>26000</v>
      </c>
      <c r="N134" s="10">
        <v>624000</v>
      </c>
      <c r="O134" s="7" t="str">
        <f>"S"&amp;_xlfn.ISOWEEKNUM(Semaine_1[[#This Row],[Date]])</f>
        <v>S10</v>
      </c>
      <c r="P134" t="str">
        <f>TEXT(Semaine_1[[#This Row],[Date]],"MMMM")</f>
        <v>mars</v>
      </c>
    </row>
    <row r="135" spans="1:16" x14ac:dyDescent="0.45">
      <c r="A135" s="8">
        <v>46086</v>
      </c>
      <c r="B135" s="9" t="s">
        <v>31</v>
      </c>
      <c r="C135" s="9" t="s">
        <v>32</v>
      </c>
      <c r="D135" s="9" t="s">
        <v>153</v>
      </c>
      <c r="E135" s="9" t="s">
        <v>184</v>
      </c>
      <c r="F135" s="9">
        <v>771837885</v>
      </c>
      <c r="G135" s="9" t="s">
        <v>30</v>
      </c>
      <c r="H135" s="9" t="s">
        <v>13</v>
      </c>
      <c r="I135" s="9" t="s">
        <v>17</v>
      </c>
      <c r="J135" s="9" t="s">
        <v>33</v>
      </c>
      <c r="K135" s="9" t="s">
        <v>37</v>
      </c>
      <c r="L135" s="9">
        <v>1</v>
      </c>
      <c r="M135" s="10">
        <v>26000</v>
      </c>
      <c r="N135" s="10">
        <v>26000</v>
      </c>
      <c r="O135" s="7" t="str">
        <f>"S"&amp;_xlfn.ISOWEEKNUM(Semaine_1[[#This Row],[Date]])</f>
        <v>S10</v>
      </c>
      <c r="P135" t="str">
        <f>TEXT(Semaine_1[[#This Row],[Date]],"MMMM")</f>
        <v>mars</v>
      </c>
    </row>
    <row r="136" spans="1:16" x14ac:dyDescent="0.45">
      <c r="A136" s="8">
        <v>46086</v>
      </c>
      <c r="B136" s="9" t="s">
        <v>31</v>
      </c>
      <c r="C136" s="9" t="s">
        <v>32</v>
      </c>
      <c r="D136" s="9" t="s">
        <v>153</v>
      </c>
      <c r="E136" s="9" t="s">
        <v>184</v>
      </c>
      <c r="F136" s="9">
        <v>771837885</v>
      </c>
      <c r="G136" s="9" t="s">
        <v>30</v>
      </c>
      <c r="H136" s="9" t="s">
        <v>13</v>
      </c>
      <c r="I136" s="9" t="s">
        <v>17</v>
      </c>
      <c r="J136" s="9" t="s">
        <v>33</v>
      </c>
      <c r="K136" s="9" t="s">
        <v>56</v>
      </c>
      <c r="L136" s="9">
        <v>3</v>
      </c>
      <c r="M136" s="10">
        <v>12000</v>
      </c>
      <c r="N136" s="10">
        <v>36000</v>
      </c>
      <c r="O136" s="7" t="str">
        <f>"S"&amp;_xlfn.ISOWEEKNUM(Semaine_1[[#This Row],[Date]])</f>
        <v>S10</v>
      </c>
      <c r="P136" t="str">
        <f>TEXT(Semaine_1[[#This Row],[Date]],"MMMM")</f>
        <v>mars</v>
      </c>
    </row>
    <row r="137" spans="1:16" ht="28.15" x14ac:dyDescent="0.45">
      <c r="A137" s="8">
        <v>46090</v>
      </c>
      <c r="B137" s="9" t="s">
        <v>14</v>
      </c>
      <c r="C137" s="9" t="s">
        <v>15</v>
      </c>
      <c r="D137" s="9" t="s">
        <v>59</v>
      </c>
      <c r="E137" s="9" t="s">
        <v>135</v>
      </c>
      <c r="F137" s="9">
        <v>779676016</v>
      </c>
      <c r="G137" s="9" t="s">
        <v>16</v>
      </c>
      <c r="H137" s="9" t="s">
        <v>13</v>
      </c>
      <c r="I137" s="9" t="s">
        <v>17</v>
      </c>
      <c r="J137" s="9" t="s">
        <v>65</v>
      </c>
      <c r="K137" s="9" t="s">
        <v>107</v>
      </c>
      <c r="L137" s="9">
        <v>5</v>
      </c>
      <c r="M137" s="10">
        <v>6000</v>
      </c>
      <c r="N137" s="10">
        <v>30000</v>
      </c>
      <c r="O137" s="7" t="str">
        <f>"S"&amp;_xlfn.ISOWEEKNUM(Semaine_1[[#This Row],[Date]])</f>
        <v>S11</v>
      </c>
      <c r="P137" t="str">
        <f>TEXT(Semaine_1[[#This Row],[Date]],"MMMM")</f>
        <v>mars</v>
      </c>
    </row>
    <row r="138" spans="1:16" ht="28.15" x14ac:dyDescent="0.45">
      <c r="A138" s="8">
        <v>46090</v>
      </c>
      <c r="B138" s="9" t="s">
        <v>14</v>
      </c>
      <c r="C138" s="9" t="s">
        <v>15</v>
      </c>
      <c r="D138" s="9" t="s">
        <v>59</v>
      </c>
      <c r="E138" s="9" t="s">
        <v>135</v>
      </c>
      <c r="F138" s="9">
        <v>779676016</v>
      </c>
      <c r="G138" s="9" t="s">
        <v>16</v>
      </c>
      <c r="H138" s="9" t="s">
        <v>13</v>
      </c>
      <c r="I138" s="9" t="s">
        <v>17</v>
      </c>
      <c r="J138" s="9" t="s">
        <v>65</v>
      </c>
      <c r="K138" s="9" t="s">
        <v>34</v>
      </c>
      <c r="L138" s="9">
        <v>75</v>
      </c>
      <c r="M138" s="10">
        <v>9250</v>
      </c>
      <c r="N138" s="10">
        <v>693750</v>
      </c>
      <c r="O138" s="7" t="str">
        <f>"S"&amp;_xlfn.ISOWEEKNUM(Semaine_1[[#This Row],[Date]])</f>
        <v>S11</v>
      </c>
      <c r="P138" t="str">
        <f>TEXT(Semaine_1[[#This Row],[Date]],"MMMM")</f>
        <v>mars</v>
      </c>
    </row>
    <row r="139" spans="1:16" ht="28.15" x14ac:dyDescent="0.45">
      <c r="A139" s="8">
        <v>46090</v>
      </c>
      <c r="B139" s="9" t="s">
        <v>79</v>
      </c>
      <c r="C139" s="9" t="s">
        <v>22</v>
      </c>
      <c r="D139" s="9" t="s">
        <v>158</v>
      </c>
      <c r="E139" s="9" t="s">
        <v>185</v>
      </c>
      <c r="F139" s="9">
        <v>781297575</v>
      </c>
      <c r="G139" s="9" t="s">
        <v>16</v>
      </c>
      <c r="H139" s="9" t="s">
        <v>13</v>
      </c>
      <c r="I139" s="9" t="s">
        <v>17</v>
      </c>
      <c r="J139" s="9" t="s">
        <v>21</v>
      </c>
      <c r="K139" s="9" t="s">
        <v>37</v>
      </c>
      <c r="L139" s="9">
        <v>25</v>
      </c>
      <c r="M139" s="10">
        <v>26000</v>
      </c>
      <c r="N139" s="10">
        <v>650000</v>
      </c>
      <c r="O139" s="7" t="str">
        <f>"S"&amp;_xlfn.ISOWEEKNUM(Semaine_1[[#This Row],[Date]])</f>
        <v>S11</v>
      </c>
      <c r="P139" t="str">
        <f>TEXT(Semaine_1[[#This Row],[Date]],"MMMM")</f>
        <v>mars</v>
      </c>
    </row>
    <row r="140" spans="1:16" ht="28.15" x14ac:dyDescent="0.45">
      <c r="A140" s="8">
        <v>46090</v>
      </c>
      <c r="B140" s="9" t="s">
        <v>39</v>
      </c>
      <c r="C140" s="9" t="s">
        <v>40</v>
      </c>
      <c r="D140" s="9" t="s">
        <v>186</v>
      </c>
      <c r="E140" s="9" t="s">
        <v>187</v>
      </c>
      <c r="F140" s="9">
        <v>771952687</v>
      </c>
      <c r="G140" s="9" t="s">
        <v>16</v>
      </c>
      <c r="H140" s="9" t="s">
        <v>13</v>
      </c>
      <c r="I140" s="9" t="s">
        <v>17</v>
      </c>
      <c r="J140" s="9" t="s">
        <v>21</v>
      </c>
      <c r="K140" s="9" t="s">
        <v>36</v>
      </c>
      <c r="L140" s="9">
        <v>50</v>
      </c>
      <c r="M140" s="10">
        <v>29000</v>
      </c>
      <c r="N140" s="10">
        <v>1450000</v>
      </c>
      <c r="O140" s="7" t="str">
        <f>"S"&amp;_xlfn.ISOWEEKNUM(Semaine_1[[#This Row],[Date]])</f>
        <v>S11</v>
      </c>
      <c r="P140" t="str">
        <f>TEXT(Semaine_1[[#This Row],[Date]],"MMMM")</f>
        <v>mars</v>
      </c>
    </row>
    <row r="141" spans="1:16" x14ac:dyDescent="0.45">
      <c r="A141" s="8">
        <v>46090</v>
      </c>
      <c r="B141" s="9" t="s">
        <v>31</v>
      </c>
      <c r="C141" s="9" t="s">
        <v>32</v>
      </c>
      <c r="D141" s="9" t="s">
        <v>35</v>
      </c>
      <c r="E141" s="9" t="s">
        <v>188</v>
      </c>
      <c r="F141" s="9">
        <v>777772248</v>
      </c>
      <c r="G141" s="9" t="s">
        <v>30</v>
      </c>
      <c r="H141" s="9" t="s">
        <v>13</v>
      </c>
      <c r="I141" s="9" t="s">
        <v>17</v>
      </c>
      <c r="J141" s="9" t="s">
        <v>33</v>
      </c>
      <c r="K141" s="9" t="s">
        <v>34</v>
      </c>
      <c r="L141" s="9">
        <v>20</v>
      </c>
      <c r="M141" s="10">
        <v>9250</v>
      </c>
      <c r="N141" s="10">
        <v>185000</v>
      </c>
      <c r="O141" s="7" t="str">
        <f>"S"&amp;_xlfn.ISOWEEKNUM(Semaine_1[[#This Row],[Date]])</f>
        <v>S11</v>
      </c>
      <c r="P141" t="str">
        <f>TEXT(Semaine_1[[#This Row],[Date]],"MMMM")</f>
        <v>mars</v>
      </c>
    </row>
    <row r="142" spans="1:16" x14ac:dyDescent="0.45">
      <c r="A142" s="8">
        <v>46090</v>
      </c>
      <c r="B142" s="9" t="s">
        <v>31</v>
      </c>
      <c r="C142" s="9" t="s">
        <v>32</v>
      </c>
      <c r="D142" s="9" t="s">
        <v>35</v>
      </c>
      <c r="E142" s="9" t="s">
        <v>182</v>
      </c>
      <c r="F142" s="9">
        <v>775544532</v>
      </c>
      <c r="G142" s="9" t="s">
        <v>30</v>
      </c>
      <c r="H142" s="9" t="s">
        <v>13</v>
      </c>
      <c r="I142" s="9" t="s">
        <v>17</v>
      </c>
      <c r="J142" s="9" t="s">
        <v>33</v>
      </c>
      <c r="K142" s="9" t="s">
        <v>37</v>
      </c>
      <c r="L142" s="9">
        <v>25</v>
      </c>
      <c r="M142" s="10">
        <v>26000</v>
      </c>
      <c r="N142" s="10">
        <v>650000</v>
      </c>
      <c r="O142" s="7" t="str">
        <f>"S"&amp;_xlfn.ISOWEEKNUM(Semaine_1[[#This Row],[Date]])</f>
        <v>S11</v>
      </c>
      <c r="P142" t="str">
        <f>TEXT(Semaine_1[[#This Row],[Date]],"MMMM")</f>
        <v>mars</v>
      </c>
    </row>
    <row r="143" spans="1:16" x14ac:dyDescent="0.45">
      <c r="A143" s="8">
        <v>46092</v>
      </c>
      <c r="B143" s="9" t="s">
        <v>28</v>
      </c>
      <c r="C143" s="9" t="s">
        <v>29</v>
      </c>
      <c r="D143" s="9" t="s">
        <v>148</v>
      </c>
      <c r="E143" s="9" t="s">
        <v>189</v>
      </c>
      <c r="F143" s="9">
        <v>775586819</v>
      </c>
      <c r="G143" s="9" t="s">
        <v>30</v>
      </c>
      <c r="H143" s="9" t="s">
        <v>13</v>
      </c>
      <c r="I143" s="9" t="s">
        <v>17</v>
      </c>
      <c r="J143" s="9" t="s">
        <v>21</v>
      </c>
      <c r="K143" s="9" t="s">
        <v>190</v>
      </c>
      <c r="L143" s="9">
        <v>4</v>
      </c>
      <c r="M143" s="10">
        <v>19500</v>
      </c>
      <c r="N143" s="10">
        <v>78000</v>
      </c>
      <c r="O143" s="7" t="str">
        <f>"S"&amp;_xlfn.ISOWEEKNUM(Semaine_1[[#This Row],[Date]])</f>
        <v>S11</v>
      </c>
      <c r="P143" t="str">
        <f>TEXT(Semaine_1[[#This Row],[Date]],"MMMM")</f>
        <v>mars</v>
      </c>
    </row>
    <row r="144" spans="1:16" ht="28.15" x14ac:dyDescent="0.45">
      <c r="A144" s="8">
        <v>46092</v>
      </c>
      <c r="B144" s="9" t="s">
        <v>79</v>
      </c>
      <c r="C144" s="9" t="s">
        <v>22</v>
      </c>
      <c r="D144" s="9" t="s">
        <v>158</v>
      </c>
      <c r="E144" s="9" t="s">
        <v>191</v>
      </c>
      <c r="F144" s="9">
        <v>775250570</v>
      </c>
      <c r="G144" s="9" t="s">
        <v>16</v>
      </c>
      <c r="H144" s="9" t="s">
        <v>13</v>
      </c>
      <c r="I144" s="9" t="s">
        <v>17</v>
      </c>
      <c r="J144" s="9" t="s">
        <v>21</v>
      </c>
      <c r="K144" s="9" t="s">
        <v>190</v>
      </c>
      <c r="L144" s="9">
        <v>25</v>
      </c>
      <c r="M144" s="10">
        <v>19500</v>
      </c>
      <c r="N144" s="10">
        <v>487500</v>
      </c>
      <c r="O144" s="7" t="str">
        <f>"S"&amp;_xlfn.ISOWEEKNUM(Semaine_1[[#This Row],[Date]])</f>
        <v>S11</v>
      </c>
      <c r="P144" t="str">
        <f>TEXT(Semaine_1[[#This Row],[Date]],"MMMM")</f>
        <v>mars</v>
      </c>
    </row>
    <row r="145" spans="1:16" x14ac:dyDescent="0.45">
      <c r="A145" s="8">
        <v>46092</v>
      </c>
      <c r="B145" s="9" t="s">
        <v>28</v>
      </c>
      <c r="C145" s="9" t="s">
        <v>29</v>
      </c>
      <c r="D145" s="9" t="s">
        <v>148</v>
      </c>
      <c r="E145" s="9" t="s">
        <v>189</v>
      </c>
      <c r="F145" s="9">
        <v>775586819</v>
      </c>
      <c r="G145" s="9" t="s">
        <v>30</v>
      </c>
      <c r="H145" s="9" t="s">
        <v>13</v>
      </c>
      <c r="I145" s="9" t="s">
        <v>17</v>
      </c>
      <c r="J145" s="9" t="s">
        <v>21</v>
      </c>
      <c r="K145" s="9" t="s">
        <v>37</v>
      </c>
      <c r="L145" s="9">
        <v>27</v>
      </c>
      <c r="M145" s="10">
        <v>26000</v>
      </c>
      <c r="N145" s="10">
        <v>702000</v>
      </c>
      <c r="O145" s="7" t="str">
        <f>"S"&amp;_xlfn.ISOWEEKNUM(Semaine_1[[#This Row],[Date]])</f>
        <v>S11</v>
      </c>
      <c r="P145" t="str">
        <f>TEXT(Semaine_1[[#This Row],[Date]],"MMMM")</f>
        <v>mars</v>
      </c>
    </row>
    <row r="146" spans="1:16" ht="28.15" x14ac:dyDescent="0.45">
      <c r="A146" s="8">
        <v>46092</v>
      </c>
      <c r="B146" s="9" t="s">
        <v>39</v>
      </c>
      <c r="C146" s="9" t="s">
        <v>40</v>
      </c>
      <c r="D146" s="9" t="s">
        <v>44</v>
      </c>
      <c r="E146" s="9" t="s">
        <v>173</v>
      </c>
      <c r="F146" s="9">
        <v>784537895</v>
      </c>
      <c r="G146" s="9" t="s">
        <v>16</v>
      </c>
      <c r="H146" s="9" t="s">
        <v>13</v>
      </c>
      <c r="I146" s="9" t="s">
        <v>17</v>
      </c>
      <c r="J146" s="9" t="s">
        <v>21</v>
      </c>
      <c r="K146" s="9" t="s">
        <v>37</v>
      </c>
      <c r="L146" s="9">
        <v>25</v>
      </c>
      <c r="M146" s="10">
        <v>26000</v>
      </c>
      <c r="N146" s="10">
        <v>650000</v>
      </c>
      <c r="O146" s="7" t="str">
        <f>"S"&amp;_xlfn.ISOWEEKNUM(Semaine_1[[#This Row],[Date]])</f>
        <v>S11</v>
      </c>
      <c r="P146" t="str">
        <f>TEXT(Semaine_1[[#This Row],[Date]],"MMMM")</f>
        <v>mars</v>
      </c>
    </row>
    <row r="147" spans="1:16" ht="28.15" x14ac:dyDescent="0.45">
      <c r="A147" s="8">
        <v>46092</v>
      </c>
      <c r="B147" s="9" t="s">
        <v>39</v>
      </c>
      <c r="C147" s="9" t="s">
        <v>40</v>
      </c>
      <c r="D147" s="9" t="s">
        <v>44</v>
      </c>
      <c r="E147" s="9" t="s">
        <v>173</v>
      </c>
      <c r="F147" s="9">
        <v>784537895</v>
      </c>
      <c r="G147" s="9" t="s">
        <v>16</v>
      </c>
      <c r="H147" s="9" t="s">
        <v>13</v>
      </c>
      <c r="I147" s="9" t="s">
        <v>17</v>
      </c>
      <c r="J147" s="9" t="s">
        <v>21</v>
      </c>
      <c r="K147" s="9" t="s">
        <v>190</v>
      </c>
      <c r="L147" s="9">
        <v>25</v>
      </c>
      <c r="M147" s="10">
        <v>19500</v>
      </c>
      <c r="N147" s="10">
        <v>487500</v>
      </c>
      <c r="O147" s="7" t="str">
        <f>"S"&amp;_xlfn.ISOWEEKNUM(Semaine_1[[#This Row],[Date]])</f>
        <v>S11</v>
      </c>
      <c r="P147" t="str">
        <f>TEXT(Semaine_1[[#This Row],[Date]],"MMMM")</f>
        <v>mars</v>
      </c>
    </row>
    <row r="148" spans="1:16" ht="28.15" x14ac:dyDescent="0.45">
      <c r="A148" s="8">
        <v>46092</v>
      </c>
      <c r="B148" s="9" t="s">
        <v>39</v>
      </c>
      <c r="C148" s="9" t="s">
        <v>40</v>
      </c>
      <c r="D148" s="9" t="s">
        <v>43</v>
      </c>
      <c r="E148" s="9" t="s">
        <v>87</v>
      </c>
      <c r="F148" s="9">
        <v>776428218</v>
      </c>
      <c r="G148" s="9" t="s">
        <v>30</v>
      </c>
      <c r="H148" s="9" t="s">
        <v>13</v>
      </c>
      <c r="I148" s="9" t="s">
        <v>17</v>
      </c>
      <c r="J148" s="9" t="s">
        <v>21</v>
      </c>
      <c r="K148" s="9" t="s">
        <v>190</v>
      </c>
      <c r="L148" s="9">
        <v>25</v>
      </c>
      <c r="M148" s="10">
        <v>19500</v>
      </c>
      <c r="N148" s="10">
        <v>487500</v>
      </c>
      <c r="O148" s="7" t="str">
        <f>"S"&amp;_xlfn.ISOWEEKNUM(Semaine_1[[#This Row],[Date]])</f>
        <v>S11</v>
      </c>
      <c r="P148" t="str">
        <f>TEXT(Semaine_1[[#This Row],[Date]],"MMMM")</f>
        <v>mars</v>
      </c>
    </row>
    <row r="149" spans="1:16" x14ac:dyDescent="0.45">
      <c r="A149" s="8">
        <v>46092</v>
      </c>
      <c r="B149" s="9" t="s">
        <v>28</v>
      </c>
      <c r="C149" s="9" t="s">
        <v>29</v>
      </c>
      <c r="D149" s="9" t="s">
        <v>192</v>
      </c>
      <c r="E149" s="9" t="s">
        <v>193</v>
      </c>
      <c r="F149" s="9">
        <v>775467226</v>
      </c>
      <c r="G149" s="9" t="s">
        <v>16</v>
      </c>
      <c r="H149" s="9" t="s">
        <v>13</v>
      </c>
      <c r="I149" s="9" t="s">
        <v>17</v>
      </c>
      <c r="J149" s="9" t="s">
        <v>21</v>
      </c>
      <c r="K149" s="9" t="s">
        <v>190</v>
      </c>
      <c r="L149" s="9">
        <v>1</v>
      </c>
      <c r="M149" s="10">
        <v>19500</v>
      </c>
      <c r="N149" s="10">
        <v>19500</v>
      </c>
      <c r="O149" s="7" t="str">
        <f>"S"&amp;_xlfn.ISOWEEKNUM(Semaine_1[[#This Row],[Date]])</f>
        <v>S11</v>
      </c>
      <c r="P149" t="str">
        <f>TEXT(Semaine_1[[#This Row],[Date]],"MMMM")</f>
        <v>mars</v>
      </c>
    </row>
    <row r="150" spans="1:16" x14ac:dyDescent="0.45">
      <c r="A150" s="8">
        <v>46092</v>
      </c>
      <c r="B150" s="9" t="s">
        <v>28</v>
      </c>
      <c r="C150" s="9" t="s">
        <v>29</v>
      </c>
      <c r="D150" s="9" t="s">
        <v>192</v>
      </c>
      <c r="E150" s="9" t="s">
        <v>193</v>
      </c>
      <c r="F150" s="9">
        <v>775467226</v>
      </c>
      <c r="G150" s="9" t="s">
        <v>16</v>
      </c>
      <c r="H150" s="9" t="s">
        <v>13</v>
      </c>
      <c r="I150" s="9" t="s">
        <v>17</v>
      </c>
      <c r="J150" s="9" t="s">
        <v>21</v>
      </c>
      <c r="K150" s="9" t="s">
        <v>34</v>
      </c>
      <c r="L150" s="9">
        <v>20</v>
      </c>
      <c r="M150" s="10">
        <v>9250</v>
      </c>
      <c r="N150" s="10">
        <v>185000</v>
      </c>
      <c r="O150" s="7" t="str">
        <f>"S"&amp;_xlfn.ISOWEEKNUM(Semaine_1[[#This Row],[Date]])</f>
        <v>S11</v>
      </c>
      <c r="P150" t="str">
        <f>TEXT(Semaine_1[[#This Row],[Date]],"MMMM")</f>
        <v>mars</v>
      </c>
    </row>
    <row r="151" spans="1:16" x14ac:dyDescent="0.45">
      <c r="A151" s="8">
        <v>46092</v>
      </c>
      <c r="B151" s="9" t="s">
        <v>28</v>
      </c>
      <c r="C151" s="9" t="s">
        <v>29</v>
      </c>
      <c r="D151" s="9" t="s">
        <v>192</v>
      </c>
      <c r="E151" s="9" t="s">
        <v>193</v>
      </c>
      <c r="F151" s="9">
        <v>775467226</v>
      </c>
      <c r="G151" s="9" t="s">
        <v>16</v>
      </c>
      <c r="H151" s="9" t="s">
        <v>13</v>
      </c>
      <c r="I151" s="9" t="s">
        <v>17</v>
      </c>
      <c r="J151" s="9" t="s">
        <v>21</v>
      </c>
      <c r="K151" s="9" t="s">
        <v>89</v>
      </c>
      <c r="L151" s="9">
        <v>1</v>
      </c>
      <c r="M151" s="10">
        <v>11000</v>
      </c>
      <c r="N151" s="10">
        <v>11000</v>
      </c>
      <c r="O151" s="7" t="str">
        <f>"S"&amp;_xlfn.ISOWEEKNUM(Semaine_1[[#This Row],[Date]])</f>
        <v>S11</v>
      </c>
      <c r="P151" t="str">
        <f>TEXT(Semaine_1[[#This Row],[Date]],"MMMM")</f>
        <v>mars</v>
      </c>
    </row>
    <row r="152" spans="1:16" x14ac:dyDescent="0.45">
      <c r="A152" s="8">
        <v>46092</v>
      </c>
      <c r="B152" s="9" t="s">
        <v>31</v>
      </c>
      <c r="C152" s="9" t="s">
        <v>32</v>
      </c>
      <c r="D152" s="9" t="s">
        <v>41</v>
      </c>
      <c r="E152" s="9" t="s">
        <v>126</v>
      </c>
      <c r="F152" s="9">
        <v>775426848</v>
      </c>
      <c r="G152" s="9" t="s">
        <v>30</v>
      </c>
      <c r="H152" s="9" t="s">
        <v>13</v>
      </c>
      <c r="I152" s="9" t="s">
        <v>17</v>
      </c>
      <c r="J152" s="9" t="s">
        <v>33</v>
      </c>
      <c r="K152" s="9" t="s">
        <v>190</v>
      </c>
      <c r="L152" s="9">
        <v>25</v>
      </c>
      <c r="M152" s="10">
        <v>19500</v>
      </c>
      <c r="N152" s="10">
        <v>487500</v>
      </c>
      <c r="O152" s="7" t="str">
        <f>"S"&amp;_xlfn.ISOWEEKNUM(Semaine_1[[#This Row],[Date]])</f>
        <v>S11</v>
      </c>
      <c r="P152" t="str">
        <f>TEXT(Semaine_1[[#This Row],[Date]],"MMMM")</f>
        <v>mars</v>
      </c>
    </row>
    <row r="153" spans="1:16" x14ac:dyDescent="0.45">
      <c r="A153" s="8">
        <v>46092</v>
      </c>
      <c r="B153" s="9" t="s">
        <v>74</v>
      </c>
      <c r="C153" s="9" t="s">
        <v>67</v>
      </c>
      <c r="D153" s="9" t="s">
        <v>194</v>
      </c>
      <c r="E153" s="9" t="s">
        <v>195</v>
      </c>
      <c r="F153" s="9">
        <v>771040904</v>
      </c>
      <c r="G153" s="9" t="s">
        <v>16</v>
      </c>
      <c r="H153" s="9" t="s">
        <v>13</v>
      </c>
      <c r="I153" s="9" t="s">
        <v>17</v>
      </c>
      <c r="J153" s="9" t="s">
        <v>95</v>
      </c>
      <c r="K153" s="9" t="s">
        <v>37</v>
      </c>
      <c r="L153" s="9">
        <v>25</v>
      </c>
      <c r="M153" s="10">
        <v>26000</v>
      </c>
      <c r="N153" s="10">
        <v>650000</v>
      </c>
      <c r="O153" s="7" t="str">
        <f>"S"&amp;_xlfn.ISOWEEKNUM(Semaine_1[[#This Row],[Date]])</f>
        <v>S11</v>
      </c>
      <c r="P153" t="str">
        <f>TEXT(Semaine_1[[#This Row],[Date]],"MMMM")</f>
        <v>mars</v>
      </c>
    </row>
    <row r="154" spans="1:16" ht="28.15" x14ac:dyDescent="0.45">
      <c r="A154" s="8">
        <v>46091</v>
      </c>
      <c r="B154" s="9" t="s">
        <v>14</v>
      </c>
      <c r="C154" s="9" t="s">
        <v>15</v>
      </c>
      <c r="D154" s="9" t="s">
        <v>177</v>
      </c>
      <c r="E154" s="9" t="s">
        <v>196</v>
      </c>
      <c r="F154" s="9">
        <v>772377240</v>
      </c>
      <c r="G154" s="9" t="s">
        <v>16</v>
      </c>
      <c r="H154" s="9" t="s">
        <v>13</v>
      </c>
      <c r="I154" s="9" t="s">
        <v>17</v>
      </c>
      <c r="J154" s="9" t="s">
        <v>65</v>
      </c>
      <c r="K154" s="9" t="s">
        <v>190</v>
      </c>
      <c r="L154" s="9">
        <v>50</v>
      </c>
      <c r="M154" s="10">
        <v>19500</v>
      </c>
      <c r="N154" s="10">
        <v>975000</v>
      </c>
      <c r="O154" s="7" t="str">
        <f>"S"&amp;_xlfn.ISOWEEKNUM(Semaine_1[[#This Row],[Date]])</f>
        <v>S11</v>
      </c>
      <c r="P154" t="str">
        <f>TEXT(Semaine_1[[#This Row],[Date]],"MMMM")</f>
        <v>mars</v>
      </c>
    </row>
    <row r="155" spans="1:16" x14ac:dyDescent="0.45">
      <c r="A155" s="8">
        <v>46091</v>
      </c>
      <c r="B155" s="9" t="s">
        <v>31</v>
      </c>
      <c r="C155" s="9" t="s">
        <v>32</v>
      </c>
      <c r="D155" s="9" t="s">
        <v>153</v>
      </c>
      <c r="E155" s="9" t="s">
        <v>197</v>
      </c>
      <c r="F155" s="9">
        <v>771078008</v>
      </c>
      <c r="G155" s="9" t="s">
        <v>16</v>
      </c>
      <c r="H155" s="9" t="s">
        <v>13</v>
      </c>
      <c r="I155" s="9" t="s">
        <v>17</v>
      </c>
      <c r="J155" s="9" t="s">
        <v>33</v>
      </c>
      <c r="K155" s="9" t="s">
        <v>34</v>
      </c>
      <c r="L155" s="9">
        <v>10</v>
      </c>
      <c r="M155" s="10">
        <v>9250</v>
      </c>
      <c r="N155" s="10">
        <v>92500</v>
      </c>
      <c r="O155" s="7" t="str">
        <f>"S"&amp;_xlfn.ISOWEEKNUM(Semaine_1[[#This Row],[Date]])</f>
        <v>S11</v>
      </c>
      <c r="P155" t="str">
        <f>TEXT(Semaine_1[[#This Row],[Date]],"MMMM")</f>
        <v>mars</v>
      </c>
    </row>
    <row r="156" spans="1:16" x14ac:dyDescent="0.45">
      <c r="A156" s="8">
        <v>46091</v>
      </c>
      <c r="B156" s="9" t="s">
        <v>31</v>
      </c>
      <c r="C156" s="9" t="s">
        <v>32</v>
      </c>
      <c r="D156" s="9" t="s">
        <v>35</v>
      </c>
      <c r="E156" s="9" t="s">
        <v>198</v>
      </c>
      <c r="F156" s="9">
        <v>776634479</v>
      </c>
      <c r="G156" s="9" t="s">
        <v>16</v>
      </c>
      <c r="H156" s="9" t="s">
        <v>13</v>
      </c>
      <c r="I156" s="9" t="s">
        <v>17</v>
      </c>
      <c r="J156" s="9" t="s">
        <v>49</v>
      </c>
      <c r="K156" s="9" t="s">
        <v>57</v>
      </c>
      <c r="L156" s="9">
        <v>21</v>
      </c>
      <c r="M156" s="10">
        <v>54000</v>
      </c>
      <c r="N156" s="10">
        <v>1134000</v>
      </c>
      <c r="O156" s="7" t="str">
        <f>"S"&amp;_xlfn.ISOWEEKNUM(Semaine_1[[#This Row],[Date]])</f>
        <v>S11</v>
      </c>
      <c r="P156" t="str">
        <f>TEXT(Semaine_1[[#This Row],[Date]],"MMMM")</f>
        <v>mars</v>
      </c>
    </row>
    <row r="157" spans="1:16" x14ac:dyDescent="0.45">
      <c r="A157" s="8">
        <v>46091</v>
      </c>
      <c r="B157" s="9" t="s">
        <v>31</v>
      </c>
      <c r="C157" s="9" t="s">
        <v>32</v>
      </c>
      <c r="D157" s="9" t="s">
        <v>35</v>
      </c>
      <c r="E157" s="9" t="s">
        <v>198</v>
      </c>
      <c r="F157" s="9">
        <v>776634479</v>
      </c>
      <c r="G157" s="9" t="s">
        <v>16</v>
      </c>
      <c r="H157" s="9" t="s">
        <v>13</v>
      </c>
      <c r="I157" s="9" t="s">
        <v>17</v>
      </c>
      <c r="J157" s="9" t="s">
        <v>49</v>
      </c>
      <c r="K157" s="9" t="s">
        <v>190</v>
      </c>
      <c r="L157" s="9">
        <v>5</v>
      </c>
      <c r="M157" s="10">
        <v>19500</v>
      </c>
      <c r="N157" s="10">
        <v>97500</v>
      </c>
      <c r="O157" s="7" t="str">
        <f>"S"&amp;_xlfn.ISOWEEKNUM(Semaine_1[[#This Row],[Date]])</f>
        <v>S11</v>
      </c>
      <c r="P157" t="str">
        <f>TEXT(Semaine_1[[#This Row],[Date]],"MMMM")</f>
        <v>mars</v>
      </c>
    </row>
    <row r="158" spans="1:16" x14ac:dyDescent="0.45">
      <c r="A158" s="8">
        <v>46091</v>
      </c>
      <c r="B158" s="9" t="s">
        <v>74</v>
      </c>
      <c r="C158" s="9" t="s">
        <v>67</v>
      </c>
      <c r="D158" s="9" t="s">
        <v>199</v>
      </c>
      <c r="E158" s="9" t="s">
        <v>200</v>
      </c>
      <c r="F158" s="9">
        <v>775602589</v>
      </c>
      <c r="G158" s="9" t="s">
        <v>16</v>
      </c>
      <c r="H158" s="9" t="s">
        <v>13</v>
      </c>
      <c r="I158" s="9" t="s">
        <v>17</v>
      </c>
      <c r="J158" s="9" t="s">
        <v>104</v>
      </c>
      <c r="K158" s="9" t="s">
        <v>37</v>
      </c>
      <c r="L158" s="9">
        <v>5</v>
      </c>
      <c r="M158" s="10">
        <v>26000</v>
      </c>
      <c r="N158" s="10">
        <v>130000</v>
      </c>
      <c r="O158" s="7" t="str">
        <f>"S"&amp;_xlfn.ISOWEEKNUM(Semaine_1[[#This Row],[Date]])</f>
        <v>S11</v>
      </c>
      <c r="P158" t="str">
        <f>TEXT(Semaine_1[[#This Row],[Date]],"MMMM")</f>
        <v>mars</v>
      </c>
    </row>
    <row r="159" spans="1:16" x14ac:dyDescent="0.45">
      <c r="A159" s="8">
        <v>46091</v>
      </c>
      <c r="B159" s="9" t="s">
        <v>74</v>
      </c>
      <c r="C159" s="9" t="s">
        <v>67</v>
      </c>
      <c r="D159" s="9" t="s">
        <v>75</v>
      </c>
      <c r="E159" s="9" t="s">
        <v>128</v>
      </c>
      <c r="F159" s="9">
        <v>788217757</v>
      </c>
      <c r="G159" s="9" t="s">
        <v>16</v>
      </c>
      <c r="H159" s="9" t="s">
        <v>13</v>
      </c>
      <c r="I159" s="9" t="s">
        <v>17</v>
      </c>
      <c r="J159" s="9" t="s">
        <v>95</v>
      </c>
      <c r="K159" s="9" t="s">
        <v>190</v>
      </c>
      <c r="L159" s="9">
        <v>25</v>
      </c>
      <c r="M159" s="10">
        <v>19500</v>
      </c>
      <c r="N159" s="10">
        <v>487500</v>
      </c>
      <c r="O159" s="7" t="str">
        <f>"S"&amp;_xlfn.ISOWEEKNUM(Semaine_1[[#This Row],[Date]])</f>
        <v>S11</v>
      </c>
      <c r="P159" t="str">
        <f>TEXT(Semaine_1[[#This Row],[Date]],"MMMM")</f>
        <v>mars</v>
      </c>
    </row>
    <row r="160" spans="1:16" x14ac:dyDescent="0.45">
      <c r="A160" s="8">
        <v>46091</v>
      </c>
      <c r="B160" s="9" t="s">
        <v>74</v>
      </c>
      <c r="C160" s="9" t="s">
        <v>67</v>
      </c>
      <c r="D160" s="9" t="s">
        <v>68</v>
      </c>
      <c r="E160" s="9" t="s">
        <v>201</v>
      </c>
      <c r="F160" s="9">
        <v>775485563</v>
      </c>
      <c r="G160" s="9" t="s">
        <v>16</v>
      </c>
      <c r="H160" s="9" t="s">
        <v>13</v>
      </c>
      <c r="I160" s="9" t="s">
        <v>17</v>
      </c>
      <c r="J160" s="9" t="s">
        <v>104</v>
      </c>
      <c r="K160" s="9" t="s">
        <v>190</v>
      </c>
      <c r="L160" s="9">
        <v>5</v>
      </c>
      <c r="M160" s="10">
        <v>19500</v>
      </c>
      <c r="N160" s="10">
        <v>97500</v>
      </c>
      <c r="O160" s="7" t="str">
        <f>"S"&amp;_xlfn.ISOWEEKNUM(Semaine_1[[#This Row],[Date]])</f>
        <v>S11</v>
      </c>
      <c r="P160" t="str">
        <f>TEXT(Semaine_1[[#This Row],[Date]],"MMMM")</f>
        <v>mars</v>
      </c>
    </row>
    <row r="161" spans="1:16" ht="28.15" x14ac:dyDescent="0.45">
      <c r="A161" s="8">
        <v>46091</v>
      </c>
      <c r="B161" s="9" t="s">
        <v>14</v>
      </c>
      <c r="C161" s="9" t="s">
        <v>15</v>
      </c>
      <c r="D161" s="9" t="s">
        <v>59</v>
      </c>
      <c r="E161" s="9" t="s">
        <v>91</v>
      </c>
      <c r="F161" s="9">
        <v>779486095</v>
      </c>
      <c r="G161" s="9" t="s">
        <v>16</v>
      </c>
      <c r="H161" s="9" t="s">
        <v>13</v>
      </c>
      <c r="I161" s="9" t="s">
        <v>17</v>
      </c>
      <c r="J161" s="9" t="s">
        <v>65</v>
      </c>
      <c r="K161" s="9" t="s">
        <v>77</v>
      </c>
      <c r="L161" s="9">
        <v>27</v>
      </c>
      <c r="M161" s="10">
        <v>18000</v>
      </c>
      <c r="N161" s="10">
        <v>486000</v>
      </c>
      <c r="O161" s="7" t="str">
        <f>"S"&amp;_xlfn.ISOWEEKNUM(Semaine_1[[#This Row],[Date]])</f>
        <v>S11</v>
      </c>
      <c r="P161" t="str">
        <f>TEXT(Semaine_1[[#This Row],[Date]],"MMMM")</f>
        <v>mars</v>
      </c>
    </row>
    <row r="162" spans="1:16" ht="28.15" x14ac:dyDescent="0.45">
      <c r="A162" s="8">
        <v>46091</v>
      </c>
      <c r="B162" s="9" t="s">
        <v>39</v>
      </c>
      <c r="C162" s="9" t="s">
        <v>40</v>
      </c>
      <c r="D162" s="9" t="s">
        <v>44</v>
      </c>
      <c r="E162" s="9" t="s">
        <v>136</v>
      </c>
      <c r="F162" s="9">
        <v>786323232</v>
      </c>
      <c r="G162" s="9" t="s">
        <v>16</v>
      </c>
      <c r="H162" s="9" t="s">
        <v>13</v>
      </c>
      <c r="I162" s="9" t="s">
        <v>17</v>
      </c>
      <c r="J162" s="9" t="s">
        <v>21</v>
      </c>
      <c r="K162" s="9" t="s">
        <v>190</v>
      </c>
      <c r="L162" s="9">
        <v>100</v>
      </c>
      <c r="M162" s="10">
        <v>19500</v>
      </c>
      <c r="N162" s="10">
        <v>1950000</v>
      </c>
      <c r="O162" s="7" t="str">
        <f>"S"&amp;_xlfn.ISOWEEKNUM(Semaine_1[[#This Row],[Date]])</f>
        <v>S11</v>
      </c>
      <c r="P162" t="str">
        <f>TEXT(Semaine_1[[#This Row],[Date]],"MMMM")</f>
        <v>mars</v>
      </c>
    </row>
    <row r="163" spans="1:16" ht="28.15" x14ac:dyDescent="0.45">
      <c r="A163" s="8">
        <v>46093</v>
      </c>
      <c r="B163" s="9" t="s">
        <v>74</v>
      </c>
      <c r="C163" s="9" t="s">
        <v>67</v>
      </c>
      <c r="D163" s="9" t="s">
        <v>68</v>
      </c>
      <c r="E163" s="9" t="s">
        <v>102</v>
      </c>
      <c r="F163" s="9">
        <v>772038792</v>
      </c>
      <c r="G163" s="9" t="s">
        <v>16</v>
      </c>
      <c r="H163" s="9" t="s">
        <v>13</v>
      </c>
      <c r="I163" s="9" t="s">
        <v>17</v>
      </c>
      <c r="J163" s="9" t="s">
        <v>202</v>
      </c>
      <c r="K163" s="9" t="s">
        <v>34</v>
      </c>
      <c r="L163" s="9">
        <v>10</v>
      </c>
      <c r="M163" s="10">
        <v>9250</v>
      </c>
      <c r="N163" s="10">
        <v>92500</v>
      </c>
      <c r="O163" s="7" t="str">
        <f>"S"&amp;_xlfn.ISOWEEKNUM(Semaine_1[[#This Row],[Date]])</f>
        <v>S11</v>
      </c>
      <c r="P163" t="str">
        <f>TEXT(Semaine_1[[#This Row],[Date]],"MMMM")</f>
        <v>mars</v>
      </c>
    </row>
    <row r="164" spans="1:16" ht="28.15" x14ac:dyDescent="0.45">
      <c r="A164" s="8">
        <v>46093</v>
      </c>
      <c r="B164" s="9" t="s">
        <v>14</v>
      </c>
      <c r="C164" s="9" t="s">
        <v>15</v>
      </c>
      <c r="D164" s="9" t="s">
        <v>85</v>
      </c>
      <c r="E164" s="9" t="s">
        <v>203</v>
      </c>
      <c r="F164" s="9">
        <v>776256670</v>
      </c>
      <c r="G164" s="9" t="s">
        <v>16</v>
      </c>
      <c r="H164" s="9" t="s">
        <v>13</v>
      </c>
      <c r="I164" s="9" t="s">
        <v>17</v>
      </c>
      <c r="J164" s="9" t="s">
        <v>65</v>
      </c>
      <c r="K164" s="9" t="s">
        <v>190</v>
      </c>
      <c r="L164" s="9">
        <v>25</v>
      </c>
      <c r="M164" s="10">
        <v>19500</v>
      </c>
      <c r="N164" s="10">
        <v>487500</v>
      </c>
      <c r="O164" s="7" t="str">
        <f>"S"&amp;_xlfn.ISOWEEKNUM(Semaine_1[[#This Row],[Date]])</f>
        <v>S11</v>
      </c>
      <c r="P164" t="str">
        <f>TEXT(Semaine_1[[#This Row],[Date]],"MMMM")</f>
        <v>mars</v>
      </c>
    </row>
    <row r="165" spans="1:16" ht="28.15" x14ac:dyDescent="0.45">
      <c r="A165" s="8">
        <v>46093</v>
      </c>
      <c r="B165" s="9" t="s">
        <v>14</v>
      </c>
      <c r="C165" s="9" t="s">
        <v>15</v>
      </c>
      <c r="D165" s="9" t="s">
        <v>177</v>
      </c>
      <c r="E165" s="9" t="s">
        <v>204</v>
      </c>
      <c r="F165" s="9">
        <v>776414102</v>
      </c>
      <c r="G165" s="9" t="s">
        <v>16</v>
      </c>
      <c r="H165" s="9" t="s">
        <v>13</v>
      </c>
      <c r="I165" s="9" t="s">
        <v>17</v>
      </c>
      <c r="J165" s="9" t="s">
        <v>65</v>
      </c>
      <c r="K165" s="9" t="s">
        <v>190</v>
      </c>
      <c r="L165" s="9">
        <v>25</v>
      </c>
      <c r="M165" s="10">
        <v>19500</v>
      </c>
      <c r="N165" s="10">
        <v>487500</v>
      </c>
      <c r="O165" s="7" t="str">
        <f>"S"&amp;_xlfn.ISOWEEKNUM(Semaine_1[[#This Row],[Date]])</f>
        <v>S11</v>
      </c>
      <c r="P165" t="str">
        <f>TEXT(Semaine_1[[#This Row],[Date]],"MMMM")</f>
        <v>mars</v>
      </c>
    </row>
    <row r="166" spans="1:16" ht="28.15" x14ac:dyDescent="0.45">
      <c r="A166" s="8">
        <v>46093</v>
      </c>
      <c r="B166" s="9" t="s">
        <v>109</v>
      </c>
      <c r="C166" s="9" t="s">
        <v>15</v>
      </c>
      <c r="D166" s="9" t="s">
        <v>59</v>
      </c>
      <c r="E166" s="9" t="s">
        <v>205</v>
      </c>
      <c r="F166" s="9">
        <v>776952210</v>
      </c>
      <c r="G166" s="9" t="s">
        <v>110</v>
      </c>
      <c r="H166" s="9" t="s">
        <v>13</v>
      </c>
      <c r="I166" s="9" t="s">
        <v>17</v>
      </c>
      <c r="J166" s="9" t="s">
        <v>206</v>
      </c>
      <c r="K166" s="9" t="s">
        <v>77</v>
      </c>
      <c r="L166" s="9">
        <v>2</v>
      </c>
      <c r="M166" s="10">
        <v>18000</v>
      </c>
      <c r="N166" s="10">
        <v>36000</v>
      </c>
      <c r="O166" s="7" t="str">
        <f>"S"&amp;_xlfn.ISOWEEKNUM(Semaine_1[[#This Row],[Date]])</f>
        <v>S11</v>
      </c>
      <c r="P166" t="str">
        <f>TEXT(Semaine_1[[#This Row],[Date]],"MMMM")</f>
        <v>mars</v>
      </c>
    </row>
    <row r="167" spans="1:16" ht="28.15" x14ac:dyDescent="0.45">
      <c r="A167" s="8">
        <v>46093</v>
      </c>
      <c r="B167" s="9" t="s">
        <v>109</v>
      </c>
      <c r="C167" s="9" t="s">
        <v>15</v>
      </c>
      <c r="D167" s="9" t="s">
        <v>59</v>
      </c>
      <c r="E167" s="9" t="s">
        <v>207</v>
      </c>
      <c r="F167" s="9">
        <v>765667743</v>
      </c>
      <c r="G167" s="9" t="s">
        <v>62</v>
      </c>
      <c r="H167" s="9" t="s">
        <v>13</v>
      </c>
      <c r="I167" s="9" t="s">
        <v>17</v>
      </c>
      <c r="J167" s="9" t="s">
        <v>206</v>
      </c>
      <c r="K167" s="9" t="s">
        <v>88</v>
      </c>
      <c r="L167" s="9">
        <v>1</v>
      </c>
      <c r="M167" s="10">
        <v>18000</v>
      </c>
      <c r="N167" s="10">
        <v>18000</v>
      </c>
      <c r="O167" s="7" t="str">
        <f>"S"&amp;_xlfn.ISOWEEKNUM(Semaine_1[[#This Row],[Date]])</f>
        <v>S11</v>
      </c>
      <c r="P167" t="str">
        <f>TEXT(Semaine_1[[#This Row],[Date]],"MMMM")</f>
        <v>mars</v>
      </c>
    </row>
    <row r="168" spans="1:16" ht="28.15" x14ac:dyDescent="0.45">
      <c r="A168" s="8">
        <v>46093</v>
      </c>
      <c r="B168" s="9" t="s">
        <v>109</v>
      </c>
      <c r="C168" s="9" t="s">
        <v>15</v>
      </c>
      <c r="D168" s="9" t="s">
        <v>59</v>
      </c>
      <c r="E168" s="9" t="s">
        <v>207</v>
      </c>
      <c r="F168" s="9">
        <v>765667743</v>
      </c>
      <c r="G168" s="9" t="s">
        <v>62</v>
      </c>
      <c r="H168" s="9" t="s">
        <v>13</v>
      </c>
      <c r="I168" s="9" t="s">
        <v>17</v>
      </c>
      <c r="J168" s="9" t="s">
        <v>206</v>
      </c>
      <c r="K168" s="9" t="s">
        <v>77</v>
      </c>
      <c r="L168" s="9">
        <v>1</v>
      </c>
      <c r="M168" s="10">
        <v>18000</v>
      </c>
      <c r="N168" s="10">
        <v>18000</v>
      </c>
      <c r="O168" s="7" t="str">
        <f>"S"&amp;_xlfn.ISOWEEKNUM(Semaine_1[[#This Row],[Date]])</f>
        <v>S11</v>
      </c>
      <c r="P168" t="str">
        <f>TEXT(Semaine_1[[#This Row],[Date]],"MMMM")</f>
        <v>mars</v>
      </c>
    </row>
    <row r="169" spans="1:16" ht="28.15" x14ac:dyDescent="0.45">
      <c r="A169" s="8">
        <v>46093</v>
      </c>
      <c r="B169" s="9" t="s">
        <v>109</v>
      </c>
      <c r="C169" s="9" t="s">
        <v>15</v>
      </c>
      <c r="D169" s="9" t="s">
        <v>85</v>
      </c>
      <c r="E169" s="9" t="s">
        <v>208</v>
      </c>
      <c r="F169" s="9">
        <v>761760419</v>
      </c>
      <c r="G169" s="9" t="s">
        <v>110</v>
      </c>
      <c r="H169" s="9" t="s">
        <v>13</v>
      </c>
      <c r="I169" s="9" t="s">
        <v>17</v>
      </c>
      <c r="J169" s="9" t="s">
        <v>206</v>
      </c>
      <c r="K169" s="9" t="s">
        <v>56</v>
      </c>
      <c r="L169" s="9">
        <v>1</v>
      </c>
      <c r="M169" s="10">
        <v>12000</v>
      </c>
      <c r="N169" s="10">
        <v>12000</v>
      </c>
      <c r="O169" s="7" t="str">
        <f>"S"&amp;_xlfn.ISOWEEKNUM(Semaine_1[[#This Row],[Date]])</f>
        <v>S11</v>
      </c>
      <c r="P169" t="str">
        <f>TEXT(Semaine_1[[#This Row],[Date]],"MMMM")</f>
        <v>mars</v>
      </c>
    </row>
    <row r="170" spans="1:16" ht="28.15" x14ac:dyDescent="0.45">
      <c r="A170" s="8">
        <v>46093</v>
      </c>
      <c r="B170" s="9" t="s">
        <v>109</v>
      </c>
      <c r="C170" s="9" t="s">
        <v>15</v>
      </c>
      <c r="D170" s="9" t="s">
        <v>85</v>
      </c>
      <c r="E170" s="9" t="s">
        <v>208</v>
      </c>
      <c r="F170" s="9">
        <v>761760419</v>
      </c>
      <c r="G170" s="9" t="s">
        <v>110</v>
      </c>
      <c r="H170" s="9" t="s">
        <v>13</v>
      </c>
      <c r="I170" s="9" t="s">
        <v>17</v>
      </c>
      <c r="J170" s="9" t="s">
        <v>206</v>
      </c>
      <c r="K170" s="9" t="s">
        <v>34</v>
      </c>
      <c r="L170" s="9">
        <v>3</v>
      </c>
      <c r="M170" s="10">
        <v>9250</v>
      </c>
      <c r="N170" s="10">
        <v>27750</v>
      </c>
      <c r="O170" s="7" t="str">
        <f>"S"&amp;_xlfn.ISOWEEKNUM(Semaine_1[[#This Row],[Date]])</f>
        <v>S11</v>
      </c>
      <c r="P170" t="str">
        <f>TEXT(Semaine_1[[#This Row],[Date]],"MMMM")</f>
        <v>mars</v>
      </c>
    </row>
    <row r="171" spans="1:16" ht="28.15" x14ac:dyDescent="0.45">
      <c r="A171" s="8">
        <v>46093</v>
      </c>
      <c r="B171" s="9" t="s">
        <v>109</v>
      </c>
      <c r="C171" s="9" t="s">
        <v>15</v>
      </c>
      <c r="D171" s="9" t="s">
        <v>59</v>
      </c>
      <c r="E171" s="9" t="s">
        <v>209</v>
      </c>
      <c r="F171" s="9">
        <v>783596501</v>
      </c>
      <c r="G171" s="9" t="s">
        <v>110</v>
      </c>
      <c r="H171" s="9" t="s">
        <v>155</v>
      </c>
      <c r="I171" s="9" t="s">
        <v>17</v>
      </c>
      <c r="J171" s="9" t="s">
        <v>206</v>
      </c>
      <c r="K171" s="9" t="s">
        <v>190</v>
      </c>
      <c r="L171" s="9">
        <v>2</v>
      </c>
      <c r="M171" s="10">
        <v>19500</v>
      </c>
      <c r="N171" s="10">
        <v>39000</v>
      </c>
      <c r="O171" s="7" t="str">
        <f>"S"&amp;_xlfn.ISOWEEKNUM(Semaine_1[[#This Row],[Date]])</f>
        <v>S11</v>
      </c>
      <c r="P171" t="str">
        <f>TEXT(Semaine_1[[#This Row],[Date]],"MMMM")</f>
        <v>mars</v>
      </c>
    </row>
    <row r="172" spans="1:16" x14ac:dyDescent="0.45">
      <c r="A172" s="8">
        <v>46095</v>
      </c>
      <c r="B172" s="9" t="s">
        <v>31</v>
      </c>
      <c r="C172" s="9" t="s">
        <v>32</v>
      </c>
      <c r="D172" s="9" t="s">
        <v>35</v>
      </c>
      <c r="E172" s="9" t="s">
        <v>52</v>
      </c>
      <c r="F172" s="9">
        <v>777262311</v>
      </c>
      <c r="G172" s="9" t="s">
        <v>16</v>
      </c>
      <c r="H172" s="9" t="s">
        <v>13</v>
      </c>
      <c r="I172" s="9" t="s">
        <v>17</v>
      </c>
      <c r="J172" s="9" t="s">
        <v>49</v>
      </c>
      <c r="K172" s="9" t="s">
        <v>190</v>
      </c>
      <c r="L172" s="9">
        <v>4</v>
      </c>
      <c r="M172" s="10">
        <v>19500</v>
      </c>
      <c r="N172" s="10">
        <v>78000</v>
      </c>
      <c r="O172" s="7" t="str">
        <f>"S"&amp;_xlfn.ISOWEEKNUM(Semaine_1[[#This Row],[Date]])</f>
        <v>S11</v>
      </c>
      <c r="P172" t="str">
        <f>TEXT(Semaine_1[[#This Row],[Date]],"MMMM")</f>
        <v>mars</v>
      </c>
    </row>
    <row r="173" spans="1:16" x14ac:dyDescent="0.45">
      <c r="A173" s="8">
        <v>46094</v>
      </c>
      <c r="B173" s="9" t="s">
        <v>74</v>
      </c>
      <c r="C173" s="9" t="s">
        <v>67</v>
      </c>
      <c r="D173" s="9" t="s">
        <v>68</v>
      </c>
      <c r="E173" s="9" t="s">
        <v>210</v>
      </c>
      <c r="F173" s="9">
        <v>779661523</v>
      </c>
      <c r="G173" s="9" t="s">
        <v>16</v>
      </c>
      <c r="H173" s="9" t="s">
        <v>13</v>
      </c>
      <c r="I173" s="9" t="s">
        <v>17</v>
      </c>
      <c r="J173" s="9" t="s">
        <v>95</v>
      </c>
      <c r="K173" s="9" t="s">
        <v>37</v>
      </c>
      <c r="L173" s="9">
        <v>25</v>
      </c>
      <c r="M173" s="10">
        <v>26000</v>
      </c>
      <c r="N173" s="10">
        <v>650000</v>
      </c>
      <c r="O173" s="7" t="str">
        <f>"S"&amp;_xlfn.ISOWEEKNUM(Semaine_1[[#This Row],[Date]])</f>
        <v>S11</v>
      </c>
      <c r="P173" t="str">
        <f>TEXT(Semaine_1[[#This Row],[Date]],"MMMM")</f>
        <v>mars</v>
      </c>
    </row>
    <row r="174" spans="1:16" x14ac:dyDescent="0.45">
      <c r="A174" s="8">
        <v>46094</v>
      </c>
      <c r="B174" s="9" t="s">
        <v>74</v>
      </c>
      <c r="C174" s="9" t="s">
        <v>67</v>
      </c>
      <c r="D174" s="9" t="s">
        <v>67</v>
      </c>
      <c r="E174" s="9" t="s">
        <v>211</v>
      </c>
      <c r="F174" s="9">
        <v>773482683</v>
      </c>
      <c r="G174" s="9" t="s">
        <v>30</v>
      </c>
      <c r="H174" s="9" t="s">
        <v>13</v>
      </c>
      <c r="I174" s="9" t="s">
        <v>17</v>
      </c>
      <c r="J174" s="9" t="s">
        <v>95</v>
      </c>
      <c r="K174" s="9" t="s">
        <v>37</v>
      </c>
      <c r="L174" s="9">
        <v>25</v>
      </c>
      <c r="M174" s="10">
        <v>26000</v>
      </c>
      <c r="N174" s="10">
        <v>650000</v>
      </c>
      <c r="O174" s="7" t="str">
        <f>"S"&amp;_xlfn.ISOWEEKNUM(Semaine_1[[#This Row],[Date]])</f>
        <v>S11</v>
      </c>
      <c r="P174" t="str">
        <f>TEXT(Semaine_1[[#This Row],[Date]],"MMMM")</f>
        <v>mars</v>
      </c>
    </row>
    <row r="175" spans="1:16" ht="28.15" x14ac:dyDescent="0.45">
      <c r="A175" s="8">
        <v>46094</v>
      </c>
      <c r="B175" s="9" t="s">
        <v>25</v>
      </c>
      <c r="C175" s="9" t="s">
        <v>26</v>
      </c>
      <c r="D175" s="9" t="s">
        <v>71</v>
      </c>
      <c r="E175" s="9" t="s">
        <v>212</v>
      </c>
      <c r="F175" s="9">
        <v>775740574</v>
      </c>
      <c r="G175" s="9" t="s">
        <v>16</v>
      </c>
      <c r="H175" s="9" t="s">
        <v>13</v>
      </c>
      <c r="I175" s="9" t="s">
        <v>17</v>
      </c>
      <c r="J175" s="9" t="s">
        <v>81</v>
      </c>
      <c r="K175" s="9" t="s">
        <v>36</v>
      </c>
      <c r="L175" s="9">
        <v>25</v>
      </c>
      <c r="M175" s="10">
        <v>30000</v>
      </c>
      <c r="N175" s="10">
        <v>750000</v>
      </c>
      <c r="O175" s="7" t="str">
        <f>"S"&amp;_xlfn.ISOWEEKNUM(Semaine_1[[#This Row],[Date]])</f>
        <v>S11</v>
      </c>
      <c r="P175" t="str">
        <f>TEXT(Semaine_1[[#This Row],[Date]],"MMMM")</f>
        <v>mars</v>
      </c>
    </row>
    <row r="176" spans="1:16" x14ac:dyDescent="0.45">
      <c r="A176" s="8">
        <v>46094</v>
      </c>
      <c r="B176" s="9" t="s">
        <v>31</v>
      </c>
      <c r="C176" s="9" t="s">
        <v>32</v>
      </c>
      <c r="D176" s="9" t="s">
        <v>41</v>
      </c>
      <c r="E176" s="9" t="s">
        <v>213</v>
      </c>
      <c r="F176" s="9">
        <v>775987400</v>
      </c>
      <c r="G176" s="9" t="s">
        <v>30</v>
      </c>
      <c r="H176" s="9" t="s">
        <v>13</v>
      </c>
      <c r="I176" s="9" t="s">
        <v>17</v>
      </c>
      <c r="J176" s="9" t="s">
        <v>33</v>
      </c>
      <c r="K176" s="9" t="s">
        <v>190</v>
      </c>
      <c r="L176" s="9">
        <v>2</v>
      </c>
      <c r="M176" s="10">
        <v>19500</v>
      </c>
      <c r="N176" s="10">
        <v>39000</v>
      </c>
      <c r="O176" s="7" t="str">
        <f>"S"&amp;_xlfn.ISOWEEKNUM(Semaine_1[[#This Row],[Date]])</f>
        <v>S11</v>
      </c>
      <c r="P176" t="str">
        <f>TEXT(Semaine_1[[#This Row],[Date]],"MMMM")</f>
        <v>mars</v>
      </c>
    </row>
    <row r="177" spans="1:16" x14ac:dyDescent="0.45">
      <c r="A177" s="8">
        <v>46094</v>
      </c>
      <c r="B177" s="9" t="s">
        <v>31</v>
      </c>
      <c r="C177" s="9" t="s">
        <v>32</v>
      </c>
      <c r="D177" s="9" t="s">
        <v>35</v>
      </c>
      <c r="E177" s="9" t="s">
        <v>182</v>
      </c>
      <c r="F177" s="9">
        <v>775544532</v>
      </c>
      <c r="G177" s="9" t="s">
        <v>30</v>
      </c>
      <c r="H177" s="9" t="s">
        <v>13</v>
      </c>
      <c r="I177" s="9" t="s">
        <v>17</v>
      </c>
      <c r="J177" s="9" t="s">
        <v>49</v>
      </c>
      <c r="K177" s="9" t="s">
        <v>37</v>
      </c>
      <c r="L177" s="9">
        <v>25</v>
      </c>
      <c r="M177" s="10">
        <v>26000</v>
      </c>
      <c r="N177" s="10">
        <v>650000</v>
      </c>
      <c r="O177" s="7" t="str">
        <f>"S"&amp;_xlfn.ISOWEEKNUM(Semaine_1[[#This Row],[Date]])</f>
        <v>S11</v>
      </c>
      <c r="P177" t="str">
        <f>TEXT(Semaine_1[[#This Row],[Date]],"MMMM")</f>
        <v>mars</v>
      </c>
    </row>
    <row r="178" spans="1:16" x14ac:dyDescent="0.45">
      <c r="A178" s="8">
        <v>46094</v>
      </c>
      <c r="B178" s="9" t="s">
        <v>31</v>
      </c>
      <c r="C178" s="9" t="s">
        <v>32</v>
      </c>
      <c r="D178" s="9" t="s">
        <v>35</v>
      </c>
      <c r="E178" s="9" t="s">
        <v>214</v>
      </c>
      <c r="F178" s="9">
        <v>775538380</v>
      </c>
      <c r="G178" s="9" t="s">
        <v>16</v>
      </c>
      <c r="H178" s="9" t="s">
        <v>13</v>
      </c>
      <c r="I178" s="9" t="s">
        <v>17</v>
      </c>
      <c r="J178" s="9" t="s">
        <v>33</v>
      </c>
      <c r="K178" s="9" t="s">
        <v>190</v>
      </c>
      <c r="L178" s="9">
        <v>2</v>
      </c>
      <c r="M178" s="10">
        <v>19500</v>
      </c>
      <c r="N178" s="10">
        <v>39000</v>
      </c>
      <c r="O178" s="7" t="str">
        <f>"S"&amp;_xlfn.ISOWEEKNUM(Semaine_1[[#This Row],[Date]])</f>
        <v>S11</v>
      </c>
      <c r="P178" t="str">
        <f>TEXT(Semaine_1[[#This Row],[Date]],"MMMM")</f>
        <v>mars</v>
      </c>
    </row>
    <row r="179" spans="1:16" ht="28.15" x14ac:dyDescent="0.45">
      <c r="A179" s="8">
        <v>46090</v>
      </c>
      <c r="B179" s="9" t="s">
        <v>170</v>
      </c>
      <c r="C179" s="9" t="s">
        <v>22</v>
      </c>
      <c r="D179" s="9" t="s">
        <v>158</v>
      </c>
      <c r="E179" s="9" t="s">
        <v>185</v>
      </c>
      <c r="F179" s="9">
        <v>781297576</v>
      </c>
      <c r="G179" s="9" t="s">
        <v>16</v>
      </c>
      <c r="H179" s="9" t="s">
        <v>13</v>
      </c>
      <c r="I179" s="9" t="s">
        <v>17</v>
      </c>
      <c r="J179" s="9" t="s">
        <v>21</v>
      </c>
      <c r="K179" s="9" t="s">
        <v>107</v>
      </c>
      <c r="L179" s="9">
        <v>100</v>
      </c>
      <c r="M179" s="10">
        <v>5750</v>
      </c>
      <c r="N179" s="10">
        <v>575000</v>
      </c>
      <c r="O179" s="7" t="str">
        <f>"S"&amp;_xlfn.ISOWEEKNUM(Semaine_1[[#This Row],[Date]])</f>
        <v>S11</v>
      </c>
      <c r="P179" t="str">
        <f>TEXT(Semaine_1[[#This Row],[Date]],"MMMM")</f>
        <v>mars</v>
      </c>
    </row>
    <row r="180" spans="1:16" ht="28.15" x14ac:dyDescent="0.45">
      <c r="A180" s="8">
        <v>46098</v>
      </c>
      <c r="B180" s="9" t="s">
        <v>25</v>
      </c>
      <c r="C180" s="9" t="s">
        <v>26</v>
      </c>
      <c r="D180" s="9" t="s">
        <v>215</v>
      </c>
      <c r="E180" s="9" t="s">
        <v>216</v>
      </c>
      <c r="F180" s="9">
        <v>775113886</v>
      </c>
      <c r="G180" s="9" t="s">
        <v>16</v>
      </c>
      <c r="H180" s="9" t="s">
        <v>13</v>
      </c>
      <c r="I180" s="9" t="s">
        <v>17</v>
      </c>
      <c r="J180" s="9" t="s">
        <v>81</v>
      </c>
      <c r="K180" s="9" t="s">
        <v>34</v>
      </c>
      <c r="L180" s="9">
        <v>25</v>
      </c>
      <c r="M180" s="10">
        <v>9250</v>
      </c>
      <c r="N180" s="10">
        <v>231250</v>
      </c>
      <c r="O180" s="7" t="str">
        <f>"S"&amp;_xlfn.ISOWEEKNUM(Semaine_1[[#This Row],[Date]])</f>
        <v>S12</v>
      </c>
      <c r="P180" t="str">
        <f>TEXT(Semaine_1[[#This Row],[Date]],"MMMM")</f>
        <v>mars</v>
      </c>
    </row>
    <row r="181" spans="1:16" ht="28.15" x14ac:dyDescent="0.45">
      <c r="A181" s="8">
        <v>46098</v>
      </c>
      <c r="B181" s="9" t="s">
        <v>14</v>
      </c>
      <c r="C181" s="9" t="s">
        <v>15</v>
      </c>
      <c r="D181" s="9" t="s">
        <v>217</v>
      </c>
      <c r="E181" s="9" t="s">
        <v>218</v>
      </c>
      <c r="F181" s="9">
        <v>775626425</v>
      </c>
      <c r="G181" s="9" t="s">
        <v>16</v>
      </c>
      <c r="H181" s="9" t="s">
        <v>13</v>
      </c>
      <c r="I181" s="9" t="s">
        <v>17</v>
      </c>
      <c r="J181" s="9" t="s">
        <v>65</v>
      </c>
      <c r="K181" s="9" t="s">
        <v>77</v>
      </c>
      <c r="L181" s="9">
        <v>3</v>
      </c>
      <c r="M181" s="10">
        <v>18000</v>
      </c>
      <c r="N181" s="10">
        <v>54000</v>
      </c>
      <c r="O181" s="7" t="str">
        <f>"S"&amp;_xlfn.ISOWEEKNUM(Semaine_1[[#This Row],[Date]])</f>
        <v>S12</v>
      </c>
      <c r="P181" t="str">
        <f>TEXT(Semaine_1[[#This Row],[Date]],"MMMM")</f>
        <v>mars</v>
      </c>
    </row>
    <row r="182" spans="1:16" ht="28.15" x14ac:dyDescent="0.45">
      <c r="A182" s="8">
        <v>46098</v>
      </c>
      <c r="B182" s="9" t="s">
        <v>14</v>
      </c>
      <c r="C182" s="9" t="s">
        <v>15</v>
      </c>
      <c r="D182" s="9" t="s">
        <v>219</v>
      </c>
      <c r="E182" s="9" t="s">
        <v>220</v>
      </c>
      <c r="F182" s="9">
        <v>786361148</v>
      </c>
      <c r="G182" s="9" t="s">
        <v>221</v>
      </c>
      <c r="H182" s="9" t="s">
        <v>13</v>
      </c>
      <c r="I182" s="9" t="s">
        <v>17</v>
      </c>
      <c r="J182" s="9" t="s">
        <v>65</v>
      </c>
      <c r="K182" s="9" t="s">
        <v>77</v>
      </c>
      <c r="L182" s="9">
        <v>2</v>
      </c>
      <c r="M182" s="10">
        <v>18000</v>
      </c>
      <c r="N182" s="10">
        <v>36000</v>
      </c>
      <c r="O182" s="7" t="str">
        <f>"S"&amp;_xlfn.ISOWEEKNUM(Semaine_1[[#This Row],[Date]])</f>
        <v>S12</v>
      </c>
      <c r="P182" t="str">
        <f>TEXT(Semaine_1[[#This Row],[Date]],"MMMM")</f>
        <v>mars</v>
      </c>
    </row>
    <row r="183" spans="1:16" ht="28.15" x14ac:dyDescent="0.45">
      <c r="A183" s="8">
        <v>46098</v>
      </c>
      <c r="B183" s="9" t="s">
        <v>14</v>
      </c>
      <c r="C183" s="9" t="s">
        <v>15</v>
      </c>
      <c r="D183" s="9" t="s">
        <v>59</v>
      </c>
      <c r="E183" s="9" t="s">
        <v>76</v>
      </c>
      <c r="F183" s="9">
        <v>770158721</v>
      </c>
      <c r="G183" s="9" t="s">
        <v>16</v>
      </c>
      <c r="H183" s="9" t="s">
        <v>13</v>
      </c>
      <c r="I183" s="9" t="s">
        <v>17</v>
      </c>
      <c r="J183" s="9" t="s">
        <v>65</v>
      </c>
      <c r="K183" s="9" t="s">
        <v>88</v>
      </c>
      <c r="L183" s="9">
        <v>25</v>
      </c>
      <c r="M183" s="10">
        <v>18000</v>
      </c>
      <c r="N183" s="10">
        <v>450000</v>
      </c>
      <c r="O183" s="7" t="str">
        <f>"S"&amp;_xlfn.ISOWEEKNUM(Semaine_1[[#This Row],[Date]])</f>
        <v>S12</v>
      </c>
      <c r="P183" t="str">
        <f>TEXT(Semaine_1[[#This Row],[Date]],"MMMM")</f>
        <v>mars</v>
      </c>
    </row>
    <row r="184" spans="1:16" ht="28.15" x14ac:dyDescent="0.45">
      <c r="A184" s="8">
        <v>46098</v>
      </c>
      <c r="B184" s="9" t="s">
        <v>14</v>
      </c>
      <c r="C184" s="9" t="s">
        <v>15</v>
      </c>
      <c r="D184" s="9" t="s">
        <v>59</v>
      </c>
      <c r="E184" s="9" t="s">
        <v>76</v>
      </c>
      <c r="F184" s="9">
        <v>770158721</v>
      </c>
      <c r="G184" s="9" t="s">
        <v>16</v>
      </c>
      <c r="H184" s="9" t="s">
        <v>13</v>
      </c>
      <c r="I184" s="9" t="s">
        <v>17</v>
      </c>
      <c r="J184" s="9" t="s">
        <v>65</v>
      </c>
      <c r="K184" s="9" t="s">
        <v>77</v>
      </c>
      <c r="L184" s="9">
        <v>25</v>
      </c>
      <c r="M184" s="10">
        <v>18000</v>
      </c>
      <c r="N184" s="10">
        <v>450000</v>
      </c>
      <c r="O184" s="7" t="str">
        <f>"S"&amp;_xlfn.ISOWEEKNUM(Semaine_1[[#This Row],[Date]])</f>
        <v>S12</v>
      </c>
      <c r="P184" t="str">
        <f>TEXT(Semaine_1[[#This Row],[Date]],"MMMM")</f>
        <v>mars</v>
      </c>
    </row>
    <row r="185" spans="1:16" ht="28.15" x14ac:dyDescent="0.45">
      <c r="A185" s="8">
        <v>46098</v>
      </c>
      <c r="B185" s="9" t="s">
        <v>14</v>
      </c>
      <c r="C185" s="9" t="s">
        <v>15</v>
      </c>
      <c r="D185" s="9" t="s">
        <v>222</v>
      </c>
      <c r="E185" s="9" t="s">
        <v>223</v>
      </c>
      <c r="F185" s="9">
        <v>775649041</v>
      </c>
      <c r="G185" s="9" t="s">
        <v>16</v>
      </c>
      <c r="H185" s="9" t="s">
        <v>13</v>
      </c>
      <c r="I185" s="9" t="s">
        <v>17</v>
      </c>
      <c r="J185" s="9" t="s">
        <v>65</v>
      </c>
      <c r="K185" s="9" t="s">
        <v>77</v>
      </c>
      <c r="L185" s="9">
        <v>1</v>
      </c>
      <c r="M185" s="10">
        <v>18000</v>
      </c>
      <c r="N185" s="10">
        <v>18000</v>
      </c>
      <c r="O185" s="7" t="str">
        <f>"S"&amp;_xlfn.ISOWEEKNUM(Semaine_1[[#This Row],[Date]])</f>
        <v>S12</v>
      </c>
      <c r="P185" t="str">
        <f>TEXT(Semaine_1[[#This Row],[Date]],"MMMM")</f>
        <v>mars</v>
      </c>
    </row>
    <row r="186" spans="1:16" x14ac:dyDescent="0.45">
      <c r="A186" s="8">
        <v>46098</v>
      </c>
      <c r="B186" s="9" t="s">
        <v>28</v>
      </c>
      <c r="C186" s="9" t="s">
        <v>29</v>
      </c>
      <c r="D186" s="9" t="s">
        <v>224</v>
      </c>
      <c r="E186" s="9" t="s">
        <v>225</v>
      </c>
      <c r="F186" s="9">
        <v>784785900</v>
      </c>
      <c r="G186" s="9" t="s">
        <v>16</v>
      </c>
      <c r="H186" s="9" t="s">
        <v>13</v>
      </c>
      <c r="I186" s="9" t="s">
        <v>17</v>
      </c>
      <c r="J186" s="9" t="s">
        <v>21</v>
      </c>
      <c r="K186" s="9" t="s">
        <v>34</v>
      </c>
      <c r="L186" s="9">
        <v>9</v>
      </c>
      <c r="M186" s="10">
        <v>9250</v>
      </c>
      <c r="N186" s="10">
        <v>83250</v>
      </c>
      <c r="O186" s="7" t="str">
        <f>"S"&amp;_xlfn.ISOWEEKNUM(Semaine_1[[#This Row],[Date]])</f>
        <v>S12</v>
      </c>
      <c r="P186" t="str">
        <f>TEXT(Semaine_1[[#This Row],[Date]],"MMMM")</f>
        <v>mars</v>
      </c>
    </row>
    <row r="187" spans="1:16" x14ac:dyDescent="0.45">
      <c r="A187" s="8">
        <v>46098</v>
      </c>
      <c r="B187" s="9" t="s">
        <v>28</v>
      </c>
      <c r="C187" s="9" t="s">
        <v>29</v>
      </c>
      <c r="D187" s="9" t="s">
        <v>224</v>
      </c>
      <c r="E187" s="9" t="s">
        <v>225</v>
      </c>
      <c r="F187" s="9">
        <v>784785900</v>
      </c>
      <c r="G187" s="9" t="s">
        <v>16</v>
      </c>
      <c r="H187" s="9" t="s">
        <v>13</v>
      </c>
      <c r="I187" s="9" t="s">
        <v>17</v>
      </c>
      <c r="J187" s="9" t="s">
        <v>21</v>
      </c>
      <c r="K187" s="9" t="s">
        <v>36</v>
      </c>
      <c r="L187" s="9">
        <v>7</v>
      </c>
      <c r="M187" s="10">
        <v>30000</v>
      </c>
      <c r="N187" s="10">
        <v>210000</v>
      </c>
      <c r="O187" s="7" t="str">
        <f>"S"&amp;_xlfn.ISOWEEKNUM(Semaine_1[[#This Row],[Date]])</f>
        <v>S12</v>
      </c>
      <c r="P187" t="str">
        <f>TEXT(Semaine_1[[#This Row],[Date]],"MMMM")</f>
        <v>mars</v>
      </c>
    </row>
    <row r="188" spans="1:16" x14ac:dyDescent="0.45">
      <c r="A188" s="8">
        <v>46098</v>
      </c>
      <c r="B188" s="9" t="s">
        <v>28</v>
      </c>
      <c r="C188" s="9" t="s">
        <v>29</v>
      </c>
      <c r="D188" s="9" t="s">
        <v>224</v>
      </c>
      <c r="E188" s="9" t="s">
        <v>225</v>
      </c>
      <c r="F188" s="9">
        <v>784785900</v>
      </c>
      <c r="G188" s="9" t="s">
        <v>16</v>
      </c>
      <c r="H188" s="9" t="s">
        <v>13</v>
      </c>
      <c r="I188" s="9" t="s">
        <v>17</v>
      </c>
      <c r="J188" s="9" t="s">
        <v>21</v>
      </c>
      <c r="K188" s="9" t="s">
        <v>190</v>
      </c>
      <c r="L188" s="9">
        <v>4</v>
      </c>
      <c r="M188" s="10">
        <v>19500</v>
      </c>
      <c r="N188" s="10">
        <v>78000</v>
      </c>
      <c r="O188" s="7" t="str">
        <f>"S"&amp;_xlfn.ISOWEEKNUM(Semaine_1[[#This Row],[Date]])</f>
        <v>S12</v>
      </c>
      <c r="P188" t="str">
        <f>TEXT(Semaine_1[[#This Row],[Date]],"MMMM")</f>
        <v>mars</v>
      </c>
    </row>
    <row r="189" spans="1:16" x14ac:dyDescent="0.45">
      <c r="A189" s="8">
        <v>46098</v>
      </c>
      <c r="B189" s="9" t="s">
        <v>28</v>
      </c>
      <c r="C189" s="9" t="s">
        <v>29</v>
      </c>
      <c r="D189" s="9" t="s">
        <v>224</v>
      </c>
      <c r="E189" s="9" t="s">
        <v>225</v>
      </c>
      <c r="F189" s="9">
        <v>784785900</v>
      </c>
      <c r="G189" s="9" t="s">
        <v>16</v>
      </c>
      <c r="H189" s="9" t="s">
        <v>13</v>
      </c>
      <c r="I189" s="9" t="s">
        <v>17</v>
      </c>
      <c r="J189" s="9" t="s">
        <v>21</v>
      </c>
      <c r="K189" s="9" t="s">
        <v>37</v>
      </c>
      <c r="L189" s="9">
        <v>33</v>
      </c>
      <c r="M189" s="10">
        <v>26000</v>
      </c>
      <c r="N189" s="10">
        <v>858000</v>
      </c>
      <c r="O189" s="7" t="str">
        <f>"S"&amp;_xlfn.ISOWEEKNUM(Semaine_1[[#This Row],[Date]])</f>
        <v>S12</v>
      </c>
      <c r="P189" t="str">
        <f>TEXT(Semaine_1[[#This Row],[Date]],"MMMM")</f>
        <v>mars</v>
      </c>
    </row>
    <row r="190" spans="1:16" x14ac:dyDescent="0.45">
      <c r="A190" s="8">
        <v>46097</v>
      </c>
      <c r="B190" s="9" t="s">
        <v>74</v>
      </c>
      <c r="C190" s="9" t="s">
        <v>67</v>
      </c>
      <c r="D190" s="9" t="s">
        <v>67</v>
      </c>
      <c r="E190" s="9" t="s">
        <v>226</v>
      </c>
      <c r="F190" s="9">
        <v>773122246</v>
      </c>
      <c r="G190" s="9" t="s">
        <v>16</v>
      </c>
      <c r="H190" s="9" t="s">
        <v>13</v>
      </c>
      <c r="I190" s="9" t="s">
        <v>17</v>
      </c>
      <c r="J190" s="9" t="s">
        <v>104</v>
      </c>
      <c r="K190" s="9" t="s">
        <v>34</v>
      </c>
      <c r="L190" s="9">
        <v>25</v>
      </c>
      <c r="M190" s="10">
        <v>9250</v>
      </c>
      <c r="N190" s="10">
        <v>231250</v>
      </c>
      <c r="O190" s="7" t="str">
        <f>"S"&amp;_xlfn.ISOWEEKNUM(Semaine_1[[#This Row],[Date]])</f>
        <v>S12</v>
      </c>
      <c r="P190" t="str">
        <f>TEXT(Semaine_1[[#This Row],[Date]],"MMMM")</f>
        <v>mars</v>
      </c>
    </row>
    <row r="191" spans="1:16" x14ac:dyDescent="0.45">
      <c r="A191" s="8">
        <v>46097</v>
      </c>
      <c r="B191" s="9" t="s">
        <v>31</v>
      </c>
      <c r="C191" s="9" t="s">
        <v>32</v>
      </c>
      <c r="D191" s="9" t="s">
        <v>35</v>
      </c>
      <c r="E191" s="9" t="s">
        <v>182</v>
      </c>
      <c r="F191" s="9">
        <v>775544532</v>
      </c>
      <c r="G191" s="9" t="s">
        <v>30</v>
      </c>
      <c r="H191" s="9" t="s">
        <v>13</v>
      </c>
      <c r="I191" s="9" t="s">
        <v>17</v>
      </c>
      <c r="J191" s="9" t="s">
        <v>33</v>
      </c>
      <c r="K191" s="9" t="s">
        <v>37</v>
      </c>
      <c r="L191" s="9">
        <v>25</v>
      </c>
      <c r="M191" s="10">
        <v>26000</v>
      </c>
      <c r="N191" s="10">
        <v>650000</v>
      </c>
      <c r="O191" s="7" t="str">
        <f>"S"&amp;_xlfn.ISOWEEKNUM(Semaine_1[[#This Row],[Date]])</f>
        <v>S12</v>
      </c>
      <c r="P191" t="str">
        <f>TEXT(Semaine_1[[#This Row],[Date]],"MMMM")</f>
        <v>mars</v>
      </c>
    </row>
    <row r="192" spans="1:16" x14ac:dyDescent="0.45">
      <c r="A192" s="8">
        <v>46097</v>
      </c>
      <c r="B192" s="9" t="s">
        <v>31</v>
      </c>
      <c r="C192" s="9" t="s">
        <v>32</v>
      </c>
      <c r="D192" s="9" t="s">
        <v>153</v>
      </c>
      <c r="E192" s="9" t="s">
        <v>154</v>
      </c>
      <c r="F192" s="9">
        <v>775079426</v>
      </c>
      <c r="G192" s="9" t="s">
        <v>30</v>
      </c>
      <c r="H192" s="9" t="s">
        <v>13</v>
      </c>
      <c r="I192" s="9" t="s">
        <v>17</v>
      </c>
      <c r="J192" s="9" t="s">
        <v>49</v>
      </c>
      <c r="K192" s="9" t="s">
        <v>107</v>
      </c>
      <c r="L192" s="9">
        <v>1</v>
      </c>
      <c r="M192" s="10">
        <v>6000</v>
      </c>
      <c r="N192" s="10">
        <v>6000</v>
      </c>
      <c r="O192" s="7" t="str">
        <f>"S"&amp;_xlfn.ISOWEEKNUM(Semaine_1[[#This Row],[Date]])</f>
        <v>S12</v>
      </c>
      <c r="P192" t="str">
        <f>TEXT(Semaine_1[[#This Row],[Date]],"MMMM")</f>
        <v>mars</v>
      </c>
    </row>
    <row r="193" spans="1:16" x14ac:dyDescent="0.45">
      <c r="A193" s="8">
        <v>46097</v>
      </c>
      <c r="B193" s="9" t="s">
        <v>31</v>
      </c>
      <c r="C193" s="9" t="s">
        <v>32</v>
      </c>
      <c r="D193" s="9" t="s">
        <v>35</v>
      </c>
      <c r="E193" s="9" t="s">
        <v>198</v>
      </c>
      <c r="F193" s="9">
        <v>776634479</v>
      </c>
      <c r="G193" s="9" t="s">
        <v>16</v>
      </c>
      <c r="H193" s="9" t="s">
        <v>13</v>
      </c>
      <c r="I193" s="9" t="s">
        <v>17</v>
      </c>
      <c r="J193" s="9" t="s">
        <v>33</v>
      </c>
      <c r="K193" s="9" t="s">
        <v>57</v>
      </c>
      <c r="L193" s="9">
        <v>30</v>
      </c>
      <c r="M193" s="10">
        <v>54000</v>
      </c>
      <c r="N193" s="10">
        <v>1620000</v>
      </c>
      <c r="O193" s="7" t="str">
        <f>"S"&amp;_xlfn.ISOWEEKNUM(Semaine_1[[#This Row],[Date]])</f>
        <v>S12</v>
      </c>
      <c r="P193" t="str">
        <f>TEXT(Semaine_1[[#This Row],[Date]],"MMMM")</f>
        <v>mars</v>
      </c>
    </row>
    <row r="194" spans="1:16" x14ac:dyDescent="0.45">
      <c r="A194" s="8">
        <v>46099</v>
      </c>
      <c r="B194" s="9" t="s">
        <v>74</v>
      </c>
      <c r="C194" s="9" t="s">
        <v>67</v>
      </c>
      <c r="D194" s="9" t="s">
        <v>75</v>
      </c>
      <c r="E194" s="9" t="s">
        <v>227</v>
      </c>
      <c r="F194" s="9">
        <v>774993694</v>
      </c>
      <c r="G194" s="9" t="s">
        <v>16</v>
      </c>
      <c r="H194" s="9" t="s">
        <v>13</v>
      </c>
      <c r="I194" s="9" t="s">
        <v>17</v>
      </c>
      <c r="J194" s="9" t="s">
        <v>63</v>
      </c>
      <c r="K194" s="9" t="s">
        <v>37</v>
      </c>
      <c r="L194" s="9">
        <v>50</v>
      </c>
      <c r="M194" s="10">
        <v>26000</v>
      </c>
      <c r="N194" s="10">
        <v>1300000</v>
      </c>
      <c r="O194" s="7" t="str">
        <f>"S"&amp;_xlfn.ISOWEEKNUM(Semaine_1[[#This Row],[Date]])</f>
        <v>S12</v>
      </c>
      <c r="P194" t="str">
        <f>TEXT(Semaine_1[[#This Row],[Date]],"MMMM")</f>
        <v>mars</v>
      </c>
    </row>
    <row r="195" spans="1:16" ht="28.15" x14ac:dyDescent="0.45">
      <c r="A195" s="8">
        <v>46106</v>
      </c>
      <c r="B195" s="9" t="s">
        <v>39</v>
      </c>
      <c r="C195" s="9" t="s">
        <v>40</v>
      </c>
      <c r="D195" s="9" t="s">
        <v>72</v>
      </c>
      <c r="E195" s="9" t="s">
        <v>73</v>
      </c>
      <c r="F195" s="9">
        <v>773531341</v>
      </c>
      <c r="G195" s="9" t="s">
        <v>16</v>
      </c>
      <c r="H195" s="9" t="s">
        <v>13</v>
      </c>
      <c r="I195" s="9" t="s">
        <v>17</v>
      </c>
      <c r="J195" s="9" t="s">
        <v>21</v>
      </c>
      <c r="K195" s="9" t="s">
        <v>37</v>
      </c>
      <c r="L195" s="9">
        <v>200</v>
      </c>
      <c r="M195" s="10">
        <v>26000</v>
      </c>
      <c r="N195" s="10">
        <v>5200000</v>
      </c>
      <c r="O195" s="7" t="str">
        <f>"S"&amp;_xlfn.ISOWEEKNUM(Semaine_1[[#This Row],[Date]])</f>
        <v>S13</v>
      </c>
      <c r="P195" t="str">
        <f>TEXT(Semaine_1[[#This Row],[Date]],"MMMM")</f>
        <v>mars</v>
      </c>
    </row>
    <row r="196" spans="1:16" x14ac:dyDescent="0.45">
      <c r="A196" s="8">
        <v>46106</v>
      </c>
      <c r="B196" s="9" t="s">
        <v>31</v>
      </c>
      <c r="C196" s="9" t="s">
        <v>32</v>
      </c>
      <c r="D196" s="9" t="s">
        <v>35</v>
      </c>
      <c r="E196" s="9" t="s">
        <v>182</v>
      </c>
      <c r="F196" s="9">
        <v>775544532</v>
      </c>
      <c r="G196" s="9" t="s">
        <v>30</v>
      </c>
      <c r="H196" s="9" t="s">
        <v>13</v>
      </c>
      <c r="I196" s="9" t="s">
        <v>17</v>
      </c>
      <c r="J196" s="9" t="s">
        <v>33</v>
      </c>
      <c r="K196" s="9" t="s">
        <v>37</v>
      </c>
      <c r="L196" s="9">
        <v>25</v>
      </c>
      <c r="M196" s="10">
        <v>26000</v>
      </c>
      <c r="N196" s="10">
        <v>650000</v>
      </c>
      <c r="O196" s="7" t="str">
        <f>"S"&amp;_xlfn.ISOWEEKNUM(Semaine_1[[#This Row],[Date]])</f>
        <v>S13</v>
      </c>
      <c r="P196" t="str">
        <f>TEXT(Semaine_1[[#This Row],[Date]],"MMMM")</f>
        <v>mars</v>
      </c>
    </row>
    <row r="197" spans="1:16" x14ac:dyDescent="0.45">
      <c r="A197" s="8">
        <v>46106</v>
      </c>
      <c r="B197" s="9" t="s">
        <v>31</v>
      </c>
      <c r="C197" s="9" t="s">
        <v>32</v>
      </c>
      <c r="D197" s="9" t="s">
        <v>41</v>
      </c>
      <c r="E197" s="9" t="s">
        <v>228</v>
      </c>
      <c r="F197" s="9">
        <v>780172121</v>
      </c>
      <c r="G197" s="9" t="s">
        <v>16</v>
      </c>
      <c r="H197" s="9" t="s">
        <v>13</v>
      </c>
      <c r="I197" s="9" t="s">
        <v>17</v>
      </c>
      <c r="J197" s="9" t="s">
        <v>229</v>
      </c>
      <c r="K197" s="9" t="s">
        <v>57</v>
      </c>
      <c r="L197" s="9">
        <v>10</v>
      </c>
      <c r="M197" s="10">
        <v>54000</v>
      </c>
      <c r="N197" s="10">
        <v>540000</v>
      </c>
      <c r="O197" s="7" t="str">
        <f>"S"&amp;_xlfn.ISOWEEKNUM(Semaine_1[[#This Row],[Date]])</f>
        <v>S13</v>
      </c>
      <c r="P197" t="str">
        <f>TEXT(Semaine_1[[#This Row],[Date]],"MMMM")</f>
        <v>mars</v>
      </c>
    </row>
    <row r="198" spans="1:16" x14ac:dyDescent="0.45">
      <c r="A198" s="8">
        <v>46108</v>
      </c>
      <c r="B198" s="9" t="s">
        <v>74</v>
      </c>
      <c r="C198" s="9" t="s">
        <v>67</v>
      </c>
      <c r="D198" s="9" t="s">
        <v>68</v>
      </c>
      <c r="E198" s="9" t="s">
        <v>230</v>
      </c>
      <c r="F198" s="9">
        <v>770217868</v>
      </c>
      <c r="G198" s="9" t="s">
        <v>16</v>
      </c>
      <c r="H198" s="9" t="s">
        <v>13</v>
      </c>
      <c r="I198" s="9" t="s">
        <v>17</v>
      </c>
      <c r="J198" s="9" t="s">
        <v>95</v>
      </c>
      <c r="K198" s="9" t="s">
        <v>190</v>
      </c>
      <c r="L198" s="9">
        <v>25</v>
      </c>
      <c r="M198" s="10">
        <v>19500</v>
      </c>
      <c r="N198" s="10">
        <v>487500</v>
      </c>
      <c r="O198" s="7" t="str">
        <f>"S"&amp;_xlfn.ISOWEEKNUM(Semaine_1[[#This Row],[Date]])</f>
        <v>S13</v>
      </c>
      <c r="P198" t="str">
        <f>TEXT(Semaine_1[[#This Row],[Date]],"MMMM")</f>
        <v>mars</v>
      </c>
    </row>
    <row r="199" spans="1:16" ht="28.15" x14ac:dyDescent="0.45">
      <c r="A199" s="8">
        <v>46108</v>
      </c>
      <c r="B199" s="9" t="s">
        <v>79</v>
      </c>
      <c r="C199" s="9" t="s">
        <v>22</v>
      </c>
      <c r="D199" s="9" t="s">
        <v>23</v>
      </c>
      <c r="E199" s="9" t="s">
        <v>231</v>
      </c>
      <c r="F199" s="9">
        <v>776317469</v>
      </c>
      <c r="G199" s="9" t="s">
        <v>16</v>
      </c>
      <c r="H199" s="9" t="s">
        <v>13</v>
      </c>
      <c r="I199" s="9" t="s">
        <v>17</v>
      </c>
      <c r="J199" s="9" t="s">
        <v>21</v>
      </c>
      <c r="K199" s="9" t="s">
        <v>190</v>
      </c>
      <c r="L199" s="9">
        <v>25</v>
      </c>
      <c r="M199" s="10">
        <v>19500</v>
      </c>
      <c r="N199" s="10">
        <v>487500</v>
      </c>
      <c r="O199" s="7" t="str">
        <f>"S"&amp;_xlfn.ISOWEEKNUM(Semaine_1[[#This Row],[Date]])</f>
        <v>S13</v>
      </c>
      <c r="P199" t="str">
        <f>TEXT(Semaine_1[[#This Row],[Date]],"MMMM")</f>
        <v>mars</v>
      </c>
    </row>
    <row r="200" spans="1:16" x14ac:dyDescent="0.45">
      <c r="A200" s="8">
        <v>46108</v>
      </c>
      <c r="B200" s="9" t="s">
        <v>31</v>
      </c>
      <c r="C200" s="9" t="s">
        <v>32</v>
      </c>
      <c r="D200" s="9" t="s">
        <v>35</v>
      </c>
      <c r="E200" s="9" t="s">
        <v>182</v>
      </c>
      <c r="F200" s="9">
        <v>775544532</v>
      </c>
      <c r="G200" s="9" t="s">
        <v>30</v>
      </c>
      <c r="H200" s="9" t="s">
        <v>13</v>
      </c>
      <c r="I200" s="9" t="s">
        <v>17</v>
      </c>
      <c r="J200" s="9" t="s">
        <v>33</v>
      </c>
      <c r="K200" s="9" t="s">
        <v>37</v>
      </c>
      <c r="L200" s="9">
        <v>25</v>
      </c>
      <c r="M200" s="10">
        <v>26000</v>
      </c>
      <c r="N200" s="10">
        <v>650000</v>
      </c>
      <c r="O200" s="7" t="str">
        <f>"S"&amp;_xlfn.ISOWEEKNUM(Semaine_1[[#This Row],[Date]])</f>
        <v>S13</v>
      </c>
      <c r="P200" t="str">
        <f>TEXT(Semaine_1[[#This Row],[Date]],"MMMM")</f>
        <v>mars</v>
      </c>
    </row>
    <row r="201" spans="1:16" ht="28.15" x14ac:dyDescent="0.45">
      <c r="A201" s="8">
        <v>46108</v>
      </c>
      <c r="B201" s="9" t="s">
        <v>31</v>
      </c>
      <c r="C201" s="9" t="s">
        <v>32</v>
      </c>
      <c r="D201" s="9" t="s">
        <v>35</v>
      </c>
      <c r="E201" s="9" t="s">
        <v>198</v>
      </c>
      <c r="F201" s="9">
        <v>776634479</v>
      </c>
      <c r="G201" s="9" t="s">
        <v>16</v>
      </c>
      <c r="H201" s="9" t="s">
        <v>13</v>
      </c>
      <c r="I201" s="9" t="s">
        <v>17</v>
      </c>
      <c r="J201" s="9" t="s">
        <v>49</v>
      </c>
      <c r="K201" s="9" t="s">
        <v>232</v>
      </c>
      <c r="L201" s="9">
        <v>1</v>
      </c>
      <c r="M201" s="10">
        <v>15000</v>
      </c>
      <c r="N201" s="10">
        <v>15000</v>
      </c>
      <c r="O201" s="7" t="str">
        <f>"S"&amp;_xlfn.ISOWEEKNUM(Semaine_1[[#This Row],[Date]])</f>
        <v>S13</v>
      </c>
      <c r="P201" t="str">
        <f>TEXT(Semaine_1[[#This Row],[Date]],"MMMM")</f>
        <v>mars</v>
      </c>
    </row>
    <row r="202" spans="1:16" ht="28.15" x14ac:dyDescent="0.45">
      <c r="A202" s="8">
        <v>46108</v>
      </c>
      <c r="B202" s="9" t="s">
        <v>31</v>
      </c>
      <c r="C202" s="9" t="s">
        <v>32</v>
      </c>
      <c r="D202" s="9" t="s">
        <v>35</v>
      </c>
      <c r="E202" s="9" t="s">
        <v>198</v>
      </c>
      <c r="F202" s="9">
        <v>776634479</v>
      </c>
      <c r="G202" s="9" t="s">
        <v>16</v>
      </c>
      <c r="H202" s="9" t="s">
        <v>13</v>
      </c>
      <c r="I202" s="9" t="s">
        <v>17</v>
      </c>
      <c r="J202" s="9" t="s">
        <v>49</v>
      </c>
      <c r="K202" s="9" t="s">
        <v>233</v>
      </c>
      <c r="L202" s="9">
        <v>1</v>
      </c>
      <c r="M202" s="10">
        <v>10000</v>
      </c>
      <c r="N202" s="10">
        <v>10000</v>
      </c>
      <c r="O202" s="7" t="str">
        <f>"S"&amp;_xlfn.ISOWEEKNUM(Semaine_1[[#This Row],[Date]])</f>
        <v>S13</v>
      </c>
      <c r="P202" t="str">
        <f>TEXT(Semaine_1[[#This Row],[Date]],"MMMM")</f>
        <v>mars</v>
      </c>
    </row>
    <row r="203" spans="1:16" x14ac:dyDescent="0.45">
      <c r="A203" s="8">
        <v>46108</v>
      </c>
      <c r="B203" s="9" t="s">
        <v>31</v>
      </c>
      <c r="C203" s="9" t="s">
        <v>32</v>
      </c>
      <c r="D203" s="9" t="s">
        <v>35</v>
      </c>
      <c r="E203" s="9" t="s">
        <v>52</v>
      </c>
      <c r="F203" s="9">
        <v>777262311</v>
      </c>
      <c r="G203" s="9" t="s">
        <v>16</v>
      </c>
      <c r="H203" s="9" t="s">
        <v>13</v>
      </c>
      <c r="I203" s="9" t="s">
        <v>17</v>
      </c>
      <c r="J203" s="9" t="s">
        <v>33</v>
      </c>
      <c r="K203" s="9" t="s">
        <v>57</v>
      </c>
      <c r="L203" s="9">
        <v>2</v>
      </c>
      <c r="M203" s="10">
        <v>54000</v>
      </c>
      <c r="N203" s="10">
        <v>108000</v>
      </c>
      <c r="O203" s="7" t="str">
        <f>"S"&amp;_xlfn.ISOWEEKNUM(Semaine_1[[#This Row],[Date]])</f>
        <v>S13</v>
      </c>
      <c r="P203" t="str">
        <f>TEXT(Semaine_1[[#This Row],[Date]],"MMMM")</f>
        <v>mars</v>
      </c>
    </row>
    <row r="204" spans="1:16" x14ac:dyDescent="0.45">
      <c r="A204" s="8">
        <v>46108</v>
      </c>
      <c r="B204" s="9" t="s">
        <v>31</v>
      </c>
      <c r="C204" s="9" t="s">
        <v>32</v>
      </c>
      <c r="D204" s="9" t="s">
        <v>35</v>
      </c>
      <c r="E204" s="9" t="s">
        <v>198</v>
      </c>
      <c r="F204" s="9">
        <v>776634479</v>
      </c>
      <c r="G204" s="9" t="s">
        <v>16</v>
      </c>
      <c r="H204" s="9" t="s">
        <v>13</v>
      </c>
      <c r="I204" s="9" t="s">
        <v>17</v>
      </c>
      <c r="J204" s="9" t="s">
        <v>49</v>
      </c>
      <c r="K204" s="9" t="s">
        <v>57</v>
      </c>
      <c r="L204" s="9">
        <v>2</v>
      </c>
      <c r="M204" s="10">
        <v>54000</v>
      </c>
      <c r="N204" s="10">
        <v>108000</v>
      </c>
      <c r="O204" s="7" t="str">
        <f>"S"&amp;_xlfn.ISOWEEKNUM(Semaine_1[[#This Row],[Date]])</f>
        <v>S13</v>
      </c>
      <c r="P204" t="str">
        <f>TEXT(Semaine_1[[#This Row],[Date]],"MMMM")</f>
        <v>mars</v>
      </c>
    </row>
    <row r="205" spans="1:16" ht="28.15" x14ac:dyDescent="0.45">
      <c r="A205" s="8">
        <v>46107</v>
      </c>
      <c r="B205" s="9" t="s">
        <v>25</v>
      </c>
      <c r="C205" s="9" t="s">
        <v>26</v>
      </c>
      <c r="D205" s="9" t="s">
        <v>82</v>
      </c>
      <c r="E205" s="9" t="s">
        <v>234</v>
      </c>
      <c r="F205" s="9">
        <v>766657313</v>
      </c>
      <c r="G205" s="9" t="s">
        <v>16</v>
      </c>
      <c r="H205" s="9" t="s">
        <v>13</v>
      </c>
      <c r="I205" s="9" t="s">
        <v>17</v>
      </c>
      <c r="J205" s="9" t="s">
        <v>27</v>
      </c>
      <c r="K205" s="9" t="s">
        <v>37</v>
      </c>
      <c r="L205" s="9">
        <v>30</v>
      </c>
      <c r="M205" s="10">
        <v>26000</v>
      </c>
      <c r="N205" s="10">
        <v>780000</v>
      </c>
      <c r="O205" s="7" t="str">
        <f>"S"&amp;_xlfn.ISOWEEKNUM(Semaine_1[[#This Row],[Date]])</f>
        <v>S13</v>
      </c>
      <c r="P205" t="str">
        <f>TEXT(Semaine_1[[#This Row],[Date]],"MMMM")</f>
        <v>mars</v>
      </c>
    </row>
    <row r="206" spans="1:16" ht="28.15" x14ac:dyDescent="0.45">
      <c r="A206" s="8">
        <v>46107</v>
      </c>
      <c r="B206" s="9" t="s">
        <v>25</v>
      </c>
      <c r="C206" s="9" t="s">
        <v>26</v>
      </c>
      <c r="D206" s="9" t="s">
        <v>82</v>
      </c>
      <c r="E206" s="9" t="s">
        <v>234</v>
      </c>
      <c r="F206" s="9">
        <v>766657313</v>
      </c>
      <c r="G206" s="9" t="s">
        <v>16</v>
      </c>
      <c r="H206" s="9" t="s">
        <v>13</v>
      </c>
      <c r="I206" s="9" t="s">
        <v>17</v>
      </c>
      <c r="J206" s="9" t="s">
        <v>27</v>
      </c>
      <c r="K206" s="9" t="s">
        <v>36</v>
      </c>
      <c r="L206" s="9">
        <v>1</v>
      </c>
      <c r="M206" s="10">
        <v>28000</v>
      </c>
      <c r="N206" s="10">
        <v>28000</v>
      </c>
      <c r="O206" s="7" t="str">
        <f>"S"&amp;_xlfn.ISOWEEKNUM(Semaine_1[[#This Row],[Date]])</f>
        <v>S13</v>
      </c>
      <c r="P206" t="str">
        <f>TEXT(Semaine_1[[#This Row],[Date]],"MMMM")</f>
        <v>mars</v>
      </c>
    </row>
    <row r="207" spans="1:16" ht="28.15" x14ac:dyDescent="0.45">
      <c r="A207" s="8">
        <v>46107</v>
      </c>
      <c r="B207" s="9" t="s">
        <v>14</v>
      </c>
      <c r="C207" s="9" t="s">
        <v>15</v>
      </c>
      <c r="D207" s="9" t="s">
        <v>90</v>
      </c>
      <c r="E207" s="9" t="s">
        <v>235</v>
      </c>
      <c r="F207" s="9">
        <v>773199049</v>
      </c>
      <c r="G207" s="9" t="s">
        <v>16</v>
      </c>
      <c r="H207" s="9" t="s">
        <v>13</v>
      </c>
      <c r="I207" s="9" t="s">
        <v>17</v>
      </c>
      <c r="J207" s="9" t="s">
        <v>65</v>
      </c>
      <c r="K207" s="9" t="s">
        <v>190</v>
      </c>
      <c r="L207" s="9">
        <v>25</v>
      </c>
      <c r="M207" s="10">
        <v>19500</v>
      </c>
      <c r="N207" s="10">
        <v>487500</v>
      </c>
      <c r="O207" s="7" t="str">
        <f>"S"&amp;_xlfn.ISOWEEKNUM(Semaine_1[[#This Row],[Date]])</f>
        <v>S13</v>
      </c>
      <c r="P207" t="str">
        <f>TEXT(Semaine_1[[#This Row],[Date]],"MMMM")</f>
        <v>mars</v>
      </c>
    </row>
    <row r="208" spans="1:16" x14ac:dyDescent="0.45">
      <c r="A208" s="8">
        <v>46107</v>
      </c>
      <c r="B208" s="9" t="s">
        <v>31</v>
      </c>
      <c r="C208" s="9" t="s">
        <v>32</v>
      </c>
      <c r="D208" s="9" t="s">
        <v>35</v>
      </c>
      <c r="E208" s="9" t="s">
        <v>139</v>
      </c>
      <c r="F208" s="9">
        <v>773817561</v>
      </c>
      <c r="G208" s="9" t="s">
        <v>16</v>
      </c>
      <c r="H208" s="9" t="s">
        <v>13</v>
      </c>
      <c r="I208" s="9" t="s">
        <v>17</v>
      </c>
      <c r="J208" s="9" t="s">
        <v>33</v>
      </c>
      <c r="K208" s="9" t="s">
        <v>57</v>
      </c>
      <c r="L208" s="9">
        <v>3</v>
      </c>
      <c r="M208" s="10">
        <v>54000</v>
      </c>
      <c r="N208" s="10">
        <v>162000</v>
      </c>
      <c r="O208" s="7" t="str">
        <f>"S"&amp;_xlfn.ISOWEEKNUM(Semaine_1[[#This Row],[Date]])</f>
        <v>S13</v>
      </c>
      <c r="P208" t="str">
        <f>TEXT(Semaine_1[[#This Row],[Date]],"MMMM")</f>
        <v>mars</v>
      </c>
    </row>
    <row r="209" spans="1:16" x14ac:dyDescent="0.45">
      <c r="A209" s="8">
        <v>46107</v>
      </c>
      <c r="B209" s="9" t="s">
        <v>31</v>
      </c>
      <c r="C209" s="9" t="s">
        <v>32</v>
      </c>
      <c r="D209" s="9" t="s">
        <v>41</v>
      </c>
      <c r="E209" s="9" t="s">
        <v>58</v>
      </c>
      <c r="F209" s="9">
        <v>775894235</v>
      </c>
      <c r="G209" s="9" t="s">
        <v>16</v>
      </c>
      <c r="H209" s="9" t="s">
        <v>13</v>
      </c>
      <c r="I209" s="9" t="s">
        <v>17</v>
      </c>
      <c r="J209" s="9" t="s">
        <v>33</v>
      </c>
      <c r="K209" s="9" t="s">
        <v>57</v>
      </c>
      <c r="L209" s="9">
        <v>3</v>
      </c>
      <c r="M209" s="10">
        <v>54000</v>
      </c>
      <c r="N209" s="10">
        <v>162000</v>
      </c>
      <c r="O209" s="7" t="str">
        <f>"S"&amp;_xlfn.ISOWEEKNUM(Semaine_1[[#This Row],[Date]])</f>
        <v>S13</v>
      </c>
      <c r="P209" t="str">
        <f>TEXT(Semaine_1[[#This Row],[Date]],"MMMM")</f>
        <v>mars</v>
      </c>
    </row>
    <row r="210" spans="1:16" x14ac:dyDescent="0.45">
      <c r="A210" s="8">
        <v>46107</v>
      </c>
      <c r="B210" s="9" t="s">
        <v>74</v>
      </c>
      <c r="C210" s="9" t="s">
        <v>67</v>
      </c>
      <c r="D210" s="9" t="s">
        <v>67</v>
      </c>
      <c r="E210" s="9" t="s">
        <v>226</v>
      </c>
      <c r="F210" s="9">
        <v>773122246</v>
      </c>
      <c r="G210" s="9" t="s">
        <v>16</v>
      </c>
      <c r="H210" s="9" t="s">
        <v>13</v>
      </c>
      <c r="I210" s="9" t="s">
        <v>17</v>
      </c>
      <c r="J210" s="9" t="s">
        <v>63</v>
      </c>
      <c r="K210" s="9" t="s">
        <v>37</v>
      </c>
      <c r="L210" s="9">
        <v>25</v>
      </c>
      <c r="M210" s="10">
        <v>26000</v>
      </c>
      <c r="N210" s="10">
        <v>650000</v>
      </c>
      <c r="O210" s="7" t="str">
        <f>"S"&amp;_xlfn.ISOWEEKNUM(Semaine_1[[#This Row],[Date]])</f>
        <v>S13</v>
      </c>
      <c r="P210" t="str">
        <f>TEXT(Semaine_1[[#This Row],[Date]],"MMMM")</f>
        <v>mars</v>
      </c>
    </row>
    <row r="211" spans="1:16" x14ac:dyDescent="0.45">
      <c r="A211" s="8">
        <v>46107</v>
      </c>
      <c r="B211" s="9" t="s">
        <v>74</v>
      </c>
      <c r="C211" s="9" t="s">
        <v>67</v>
      </c>
      <c r="D211" s="9" t="s">
        <v>68</v>
      </c>
      <c r="E211" s="9" t="s">
        <v>236</v>
      </c>
      <c r="F211" s="9">
        <v>772313191</v>
      </c>
      <c r="G211" s="9" t="s">
        <v>16</v>
      </c>
      <c r="H211" s="9" t="s">
        <v>155</v>
      </c>
      <c r="I211" s="9" t="s">
        <v>17</v>
      </c>
      <c r="J211" s="9" t="s">
        <v>63</v>
      </c>
      <c r="K211" s="9" t="s">
        <v>37</v>
      </c>
      <c r="L211" s="9">
        <v>300</v>
      </c>
      <c r="M211" s="10">
        <v>26000</v>
      </c>
      <c r="N211" s="10">
        <v>7800000</v>
      </c>
      <c r="O211" s="7" t="str">
        <f>"S"&amp;_xlfn.ISOWEEKNUM(Semaine_1[[#This Row],[Date]])</f>
        <v>S13</v>
      </c>
      <c r="P211" t="str">
        <f>TEXT(Semaine_1[[#This Row],[Date]],"MMMM")</f>
        <v>mars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2026-03-29T23:15:06Z</dcterms:modified>
</cp:coreProperties>
</file>