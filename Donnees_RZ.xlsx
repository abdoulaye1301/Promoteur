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9B71F2A-85B4-4BB3-BC52-CF6D7EE9E69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0" i="2" l="1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O194" i="2"/>
  <c r="P194" i="2"/>
  <c r="O193" i="2"/>
  <c r="P193" i="2"/>
  <c r="O192" i="2"/>
  <c r="P192" i="2"/>
  <c r="O191" i="2"/>
  <c r="P191" i="2"/>
  <c r="O190" i="2"/>
  <c r="P190" i="2"/>
  <c r="O186" i="2"/>
  <c r="O187" i="2"/>
  <c r="O188" i="2"/>
  <c r="O189" i="2"/>
  <c r="P186" i="2"/>
  <c r="P187" i="2"/>
  <c r="P188" i="2"/>
  <c r="P189" i="2"/>
  <c r="O181" i="2"/>
  <c r="O182" i="2"/>
  <c r="O183" i="2"/>
  <c r="O184" i="2"/>
  <c r="O185" i="2"/>
  <c r="P181" i="2"/>
  <c r="P182" i="2"/>
  <c r="P183" i="2"/>
  <c r="P184" i="2"/>
  <c r="P185" i="2"/>
  <c r="O180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<sst xmlns="http://schemas.openxmlformats.org/spreadsheetml/2006/main" count="1906" uniqueCount="237">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</sst>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11" totalsRowShown="0" headerRowDxfId="18" headerRowBorderDxfId="17" tableBorderDxfId="16">
  <autoFilter ref="A1:P21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11"/>
  <sheetViews>
    <sheetView tabSelected="1" topLeftCell="A184" zoomScale="79" zoomScaleNormal="79" workbookViewId="0">
      <selection activeCell="A206" sqref="A206:P20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11">
        <v>46106</v>
      </c>
      <c r="B195" s="12" t="s">
        <v>39</v>
      </c>
      <c r="C195" s="12" t="s">
        <v>40</v>
      </c>
      <c r="D195" s="12" t="s">
        <v>72</v>
      </c>
      <c r="E195" s="12" t="s">
        <v>73</v>
      </c>
      <c r="F195" s="12">
        <v>773531341</v>
      </c>
      <c r="G195" s="12" t="s">
        <v>16</v>
      </c>
      <c r="H195" s="12" t="s">
        <v>13</v>
      </c>
      <c r="I195" s="12" t="s">
        <v>17</v>
      </c>
      <c r="J195" s="12" t="s">
        <v>21</v>
      </c>
      <c r="K195" s="12" t="s">
        <v>37</v>
      </c>
      <c r="L195" s="12">
        <v>200</v>
      </c>
      <c r="M195" s="13">
        <v>26000</v>
      </c>
      <c r="N195" s="13">
        <v>5200000</v>
      </c>
      <c r="O195" s="14" t="str">
        <f>"S"&amp;_xlfn.ISOWEEKNUM(Semaine_1[[#This Row],[Date]])</f>
        <v>S13</v>
      </c>
      <c r="P195" s="15" t="str">
        <f>TEXT(Semaine_1[[#This Row],[Date]],"MMMM")</f>
        <v>mars</v>
      </c>
    </row>
    <row r="196" spans="1:16" x14ac:dyDescent="0.45">
      <c r="A196" s="11">
        <v>46106</v>
      </c>
      <c r="B196" s="12" t="s">
        <v>31</v>
      </c>
      <c r="C196" s="12" t="s">
        <v>32</v>
      </c>
      <c r="D196" s="12" t="s">
        <v>35</v>
      </c>
      <c r="E196" s="12" t="s">
        <v>182</v>
      </c>
      <c r="F196" s="12">
        <v>775544532</v>
      </c>
      <c r="G196" s="12" t="s">
        <v>30</v>
      </c>
      <c r="H196" s="12" t="s">
        <v>13</v>
      </c>
      <c r="I196" s="12" t="s">
        <v>17</v>
      </c>
      <c r="J196" s="12" t="s">
        <v>33</v>
      </c>
      <c r="K196" s="12" t="s">
        <v>37</v>
      </c>
      <c r="L196" s="12">
        <v>25</v>
      </c>
      <c r="M196" s="13">
        <v>26000</v>
      </c>
      <c r="N196" s="13">
        <v>650000</v>
      </c>
      <c r="O196" s="14" t="str">
        <f>"S"&amp;_xlfn.ISOWEEKNUM(Semaine_1[[#This Row],[Date]])</f>
        <v>S13</v>
      </c>
      <c r="P196" s="15" t="str">
        <f>TEXT(Semaine_1[[#This Row],[Date]],"MMMM")</f>
        <v>mars</v>
      </c>
    </row>
    <row r="197" spans="1:16" x14ac:dyDescent="0.45">
      <c r="A197" s="11">
        <v>46106</v>
      </c>
      <c r="B197" s="12" t="s">
        <v>31</v>
      </c>
      <c r="C197" s="12" t="s">
        <v>32</v>
      </c>
      <c r="D197" s="12" t="s">
        <v>41</v>
      </c>
      <c r="E197" s="12" t="s">
        <v>228</v>
      </c>
      <c r="F197" s="12">
        <v>780172121</v>
      </c>
      <c r="G197" s="12" t="s">
        <v>16</v>
      </c>
      <c r="H197" s="12" t="s">
        <v>13</v>
      </c>
      <c r="I197" s="12" t="s">
        <v>17</v>
      </c>
      <c r="J197" s="12" t="s">
        <v>229</v>
      </c>
      <c r="K197" s="12" t="s">
        <v>57</v>
      </c>
      <c r="L197" s="12">
        <v>10</v>
      </c>
      <c r="M197" s="13">
        <v>54000</v>
      </c>
      <c r="N197" s="13">
        <v>540000</v>
      </c>
      <c r="O197" s="14" t="str">
        <f>"S"&amp;_xlfn.ISOWEEKNUM(Semaine_1[[#This Row],[Date]])</f>
        <v>S13</v>
      </c>
      <c r="P197" s="15" t="str">
        <f>TEXT(Semaine_1[[#This Row],[Date]],"MMMM")</f>
        <v>mars</v>
      </c>
    </row>
    <row r="198" spans="1:16" x14ac:dyDescent="0.45">
      <c r="A198" s="11">
        <v>46108</v>
      </c>
      <c r="B198" s="12" t="s">
        <v>74</v>
      </c>
      <c r="C198" s="12" t="s">
        <v>67</v>
      </c>
      <c r="D198" s="12" t="s">
        <v>68</v>
      </c>
      <c r="E198" s="12" t="s">
        <v>230</v>
      </c>
      <c r="F198" s="12">
        <v>770217868</v>
      </c>
      <c r="G198" s="12" t="s">
        <v>16</v>
      </c>
      <c r="H198" s="12" t="s">
        <v>13</v>
      </c>
      <c r="I198" s="12" t="s">
        <v>17</v>
      </c>
      <c r="J198" s="12" t="s">
        <v>95</v>
      </c>
      <c r="K198" s="12" t="s">
        <v>190</v>
      </c>
      <c r="L198" s="12">
        <v>25</v>
      </c>
      <c r="M198" s="13">
        <v>19500</v>
      </c>
      <c r="N198" s="13">
        <v>487500</v>
      </c>
      <c r="O198" s="14" t="str">
        <f>"S"&amp;_xlfn.ISOWEEKNUM(Semaine_1[[#This Row],[Date]])</f>
        <v>S13</v>
      </c>
      <c r="P198" s="15" t="str">
        <f>TEXT(Semaine_1[[#This Row],[Date]],"MMMM")</f>
        <v>mars</v>
      </c>
    </row>
    <row r="199" spans="1:16" ht="28.15" x14ac:dyDescent="0.45">
      <c r="A199" s="11">
        <v>46108</v>
      </c>
      <c r="B199" s="12" t="s">
        <v>79</v>
      </c>
      <c r="C199" s="12" t="s">
        <v>22</v>
      </c>
      <c r="D199" s="12" t="s">
        <v>23</v>
      </c>
      <c r="E199" s="12" t="s">
        <v>231</v>
      </c>
      <c r="F199" s="12">
        <v>776317469</v>
      </c>
      <c r="G199" s="12" t="s">
        <v>16</v>
      </c>
      <c r="H199" s="12" t="s">
        <v>13</v>
      </c>
      <c r="I199" s="12" t="s">
        <v>17</v>
      </c>
      <c r="J199" s="12" t="s">
        <v>21</v>
      </c>
      <c r="K199" s="12" t="s">
        <v>190</v>
      </c>
      <c r="L199" s="12">
        <v>25</v>
      </c>
      <c r="M199" s="13">
        <v>19500</v>
      </c>
      <c r="N199" s="13">
        <v>487500</v>
      </c>
      <c r="O199" s="14" t="str">
        <f>"S"&amp;_xlfn.ISOWEEKNUM(Semaine_1[[#This Row],[Date]])</f>
        <v>S13</v>
      </c>
      <c r="P199" s="15" t="str">
        <f>TEXT(Semaine_1[[#This Row],[Date]],"MMMM")</f>
        <v>mars</v>
      </c>
    </row>
    <row r="200" spans="1:16" x14ac:dyDescent="0.45">
      <c r="A200" s="11">
        <v>46108</v>
      </c>
      <c r="B200" s="12" t="s">
        <v>31</v>
      </c>
      <c r="C200" s="12" t="s">
        <v>32</v>
      </c>
      <c r="D200" s="12" t="s">
        <v>35</v>
      </c>
      <c r="E200" s="12" t="s">
        <v>182</v>
      </c>
      <c r="F200" s="12">
        <v>775544532</v>
      </c>
      <c r="G200" s="12" t="s">
        <v>30</v>
      </c>
      <c r="H200" s="12" t="s">
        <v>13</v>
      </c>
      <c r="I200" s="12" t="s">
        <v>17</v>
      </c>
      <c r="J200" s="12" t="s">
        <v>33</v>
      </c>
      <c r="K200" s="12" t="s">
        <v>37</v>
      </c>
      <c r="L200" s="12">
        <v>25</v>
      </c>
      <c r="M200" s="13">
        <v>26000</v>
      </c>
      <c r="N200" s="13">
        <v>650000</v>
      </c>
      <c r="O200" s="14" t="str">
        <f>"S"&amp;_xlfn.ISOWEEKNUM(Semaine_1[[#This Row],[Date]])</f>
        <v>S13</v>
      </c>
      <c r="P200" s="15" t="str">
        <f>TEXT(Semaine_1[[#This Row],[Date]],"MMMM")</f>
        <v>mars</v>
      </c>
    </row>
    <row r="201" spans="1:16" ht="28.15" x14ac:dyDescent="0.45">
      <c r="A201" s="11">
        <v>46108</v>
      </c>
      <c r="B201" s="12" t="s">
        <v>31</v>
      </c>
      <c r="C201" s="12" t="s">
        <v>32</v>
      </c>
      <c r="D201" s="12" t="s">
        <v>35</v>
      </c>
      <c r="E201" s="12" t="s">
        <v>198</v>
      </c>
      <c r="F201" s="12">
        <v>776634479</v>
      </c>
      <c r="G201" s="12" t="s">
        <v>16</v>
      </c>
      <c r="H201" s="12" t="s">
        <v>13</v>
      </c>
      <c r="I201" s="12" t="s">
        <v>17</v>
      </c>
      <c r="J201" s="12" t="s">
        <v>49</v>
      </c>
      <c r="K201" s="12" t="s">
        <v>232</v>
      </c>
      <c r="L201" s="12">
        <v>1</v>
      </c>
      <c r="M201" s="13">
        <v>15000</v>
      </c>
      <c r="N201" s="13">
        <v>15000</v>
      </c>
      <c r="O201" s="14" t="str">
        <f>"S"&amp;_xlfn.ISOWEEKNUM(Semaine_1[[#This Row],[Date]])</f>
        <v>S13</v>
      </c>
      <c r="P201" s="15" t="str">
        <f>TEXT(Semaine_1[[#This Row],[Date]],"MMMM")</f>
        <v>mars</v>
      </c>
    </row>
    <row r="202" spans="1:16" ht="28.15" x14ac:dyDescent="0.45">
      <c r="A202" s="11">
        <v>46108</v>
      </c>
      <c r="B202" s="12" t="s">
        <v>31</v>
      </c>
      <c r="C202" s="12" t="s">
        <v>32</v>
      </c>
      <c r="D202" s="12" t="s">
        <v>35</v>
      </c>
      <c r="E202" s="12" t="s">
        <v>198</v>
      </c>
      <c r="F202" s="12">
        <v>776634479</v>
      </c>
      <c r="G202" s="12" t="s">
        <v>16</v>
      </c>
      <c r="H202" s="12" t="s">
        <v>13</v>
      </c>
      <c r="I202" s="12" t="s">
        <v>17</v>
      </c>
      <c r="J202" s="12" t="s">
        <v>49</v>
      </c>
      <c r="K202" s="12" t="s">
        <v>233</v>
      </c>
      <c r="L202" s="12">
        <v>1</v>
      </c>
      <c r="M202" s="13">
        <v>10000</v>
      </c>
      <c r="N202" s="13">
        <v>10000</v>
      </c>
      <c r="O202" s="14" t="str">
        <f>"S"&amp;_xlfn.ISOWEEKNUM(Semaine_1[[#This Row],[Date]])</f>
        <v>S13</v>
      </c>
      <c r="P202" s="15" t="str">
        <f>TEXT(Semaine_1[[#This Row],[Date]],"MMMM")</f>
        <v>mars</v>
      </c>
    </row>
    <row r="203" spans="1:16" x14ac:dyDescent="0.45">
      <c r="A203" s="11">
        <v>46108</v>
      </c>
      <c r="B203" s="12" t="s">
        <v>31</v>
      </c>
      <c r="C203" s="12" t="s">
        <v>32</v>
      </c>
      <c r="D203" s="12" t="s">
        <v>35</v>
      </c>
      <c r="E203" s="12" t="s">
        <v>52</v>
      </c>
      <c r="F203" s="12">
        <v>777262311</v>
      </c>
      <c r="G203" s="12" t="s">
        <v>16</v>
      </c>
      <c r="H203" s="12" t="s">
        <v>13</v>
      </c>
      <c r="I203" s="12" t="s">
        <v>17</v>
      </c>
      <c r="J203" s="12" t="s">
        <v>33</v>
      </c>
      <c r="K203" s="12" t="s">
        <v>57</v>
      </c>
      <c r="L203" s="12">
        <v>2</v>
      </c>
      <c r="M203" s="13">
        <v>54000</v>
      </c>
      <c r="N203" s="13">
        <v>108000</v>
      </c>
      <c r="O203" s="14" t="str">
        <f>"S"&amp;_xlfn.ISOWEEKNUM(Semaine_1[[#This Row],[Date]])</f>
        <v>S13</v>
      </c>
      <c r="P203" s="15" t="str">
        <f>TEXT(Semaine_1[[#This Row],[Date]],"MMMM")</f>
        <v>mars</v>
      </c>
    </row>
    <row r="204" spans="1:16" x14ac:dyDescent="0.45">
      <c r="A204" s="11">
        <v>46108</v>
      </c>
      <c r="B204" s="12" t="s">
        <v>31</v>
      </c>
      <c r="C204" s="12" t="s">
        <v>32</v>
      </c>
      <c r="D204" s="12" t="s">
        <v>35</v>
      </c>
      <c r="E204" s="12" t="s">
        <v>198</v>
      </c>
      <c r="F204" s="12">
        <v>776634479</v>
      </c>
      <c r="G204" s="12" t="s">
        <v>16</v>
      </c>
      <c r="H204" s="12" t="s">
        <v>13</v>
      </c>
      <c r="I204" s="12" t="s">
        <v>17</v>
      </c>
      <c r="J204" s="12" t="s">
        <v>49</v>
      </c>
      <c r="K204" s="12" t="s">
        <v>57</v>
      </c>
      <c r="L204" s="12">
        <v>2</v>
      </c>
      <c r="M204" s="13">
        <v>54000</v>
      </c>
      <c r="N204" s="13">
        <v>108000</v>
      </c>
      <c r="O204" s="14" t="str">
        <f>"S"&amp;_xlfn.ISOWEEKNUM(Semaine_1[[#This Row],[Date]])</f>
        <v>S13</v>
      </c>
      <c r="P204" s="15" t="str">
        <f>TEXT(Semaine_1[[#This Row],[Date]],"MMMM")</f>
        <v>mars</v>
      </c>
    </row>
    <row r="205" spans="1:16" ht="28.15" x14ac:dyDescent="0.45">
      <c r="A205" s="11">
        <v>46107</v>
      </c>
      <c r="B205" s="12" t="s">
        <v>25</v>
      </c>
      <c r="C205" s="12" t="s">
        <v>26</v>
      </c>
      <c r="D205" s="12" t="s">
        <v>82</v>
      </c>
      <c r="E205" s="12" t="s">
        <v>234</v>
      </c>
      <c r="F205" s="12">
        <v>766657313</v>
      </c>
      <c r="G205" s="12" t="s">
        <v>16</v>
      </c>
      <c r="H205" s="12" t="s">
        <v>13</v>
      </c>
      <c r="I205" s="12" t="s">
        <v>17</v>
      </c>
      <c r="J205" s="12" t="s">
        <v>27</v>
      </c>
      <c r="K205" s="12" t="s">
        <v>37</v>
      </c>
      <c r="L205" s="12">
        <v>30</v>
      </c>
      <c r="M205" s="13">
        <v>26000</v>
      </c>
      <c r="N205" s="13">
        <v>780000</v>
      </c>
      <c r="O205" s="14" t="str">
        <f>"S"&amp;_xlfn.ISOWEEKNUM(Semaine_1[[#This Row],[Date]])</f>
        <v>S13</v>
      </c>
      <c r="P205" s="15" t="str">
        <f>TEXT(Semaine_1[[#This Row],[Date]],"MMMM")</f>
        <v>mars</v>
      </c>
    </row>
    <row r="206" spans="1:16" ht="28.15" x14ac:dyDescent="0.45">
      <c r="A206" s="11">
        <v>46107</v>
      </c>
      <c r="B206" s="12" t="s">
        <v>25</v>
      </c>
      <c r="C206" s="12" t="s">
        <v>26</v>
      </c>
      <c r="D206" s="12" t="s">
        <v>82</v>
      </c>
      <c r="E206" s="12" t="s">
        <v>234</v>
      </c>
      <c r="F206" s="12">
        <v>766657313</v>
      </c>
      <c r="G206" s="12" t="s">
        <v>16</v>
      </c>
      <c r="H206" s="12" t="s">
        <v>13</v>
      </c>
      <c r="I206" s="12" t="s">
        <v>17</v>
      </c>
      <c r="J206" s="12" t="s">
        <v>27</v>
      </c>
      <c r="K206" s="12" t="s">
        <v>36</v>
      </c>
      <c r="L206" s="12">
        <v>1</v>
      </c>
      <c r="M206" s="13">
        <v>28000</v>
      </c>
      <c r="N206" s="13">
        <v>28000</v>
      </c>
      <c r="O206" s="14" t="str">
        <f>"S"&amp;_xlfn.ISOWEEKNUM(Semaine_1[[#This Row],[Date]])</f>
        <v>S13</v>
      </c>
      <c r="P206" s="15" t="str">
        <f>TEXT(Semaine_1[[#This Row],[Date]],"MMMM")</f>
        <v>mars</v>
      </c>
    </row>
    <row r="207" spans="1:16" ht="28.15" x14ac:dyDescent="0.45">
      <c r="A207" s="11">
        <v>46107</v>
      </c>
      <c r="B207" s="12" t="s">
        <v>14</v>
      </c>
      <c r="C207" s="12" t="s">
        <v>15</v>
      </c>
      <c r="D207" s="12" t="s">
        <v>90</v>
      </c>
      <c r="E207" s="12" t="s">
        <v>235</v>
      </c>
      <c r="F207" s="12">
        <v>773199049</v>
      </c>
      <c r="G207" s="12" t="s">
        <v>16</v>
      </c>
      <c r="H207" s="12" t="s">
        <v>13</v>
      </c>
      <c r="I207" s="12" t="s">
        <v>17</v>
      </c>
      <c r="J207" s="12" t="s">
        <v>65</v>
      </c>
      <c r="K207" s="12" t="s">
        <v>190</v>
      </c>
      <c r="L207" s="12">
        <v>25</v>
      </c>
      <c r="M207" s="13">
        <v>19500</v>
      </c>
      <c r="N207" s="13">
        <v>487500</v>
      </c>
      <c r="O207" s="14" t="str">
        <f>"S"&amp;_xlfn.ISOWEEKNUM(Semaine_1[[#This Row],[Date]])</f>
        <v>S13</v>
      </c>
      <c r="P207" s="15" t="str">
        <f>TEXT(Semaine_1[[#This Row],[Date]],"MMMM")</f>
        <v>mars</v>
      </c>
    </row>
    <row r="208" spans="1:16" x14ac:dyDescent="0.45">
      <c r="A208" s="11">
        <v>46107</v>
      </c>
      <c r="B208" s="12" t="s">
        <v>31</v>
      </c>
      <c r="C208" s="12" t="s">
        <v>32</v>
      </c>
      <c r="D208" s="12" t="s">
        <v>35</v>
      </c>
      <c r="E208" s="12" t="s">
        <v>139</v>
      </c>
      <c r="F208" s="12">
        <v>773817561</v>
      </c>
      <c r="G208" s="12" t="s">
        <v>16</v>
      </c>
      <c r="H208" s="12" t="s">
        <v>13</v>
      </c>
      <c r="I208" s="12" t="s">
        <v>17</v>
      </c>
      <c r="J208" s="12" t="s">
        <v>33</v>
      </c>
      <c r="K208" s="12" t="s">
        <v>57</v>
      </c>
      <c r="L208" s="12">
        <v>3</v>
      </c>
      <c r="M208" s="13">
        <v>54000</v>
      </c>
      <c r="N208" s="13">
        <v>162000</v>
      </c>
      <c r="O208" s="14" t="str">
        <f>"S"&amp;_xlfn.ISOWEEKNUM(Semaine_1[[#This Row],[Date]])</f>
        <v>S13</v>
      </c>
      <c r="P208" s="15" t="str">
        <f>TEXT(Semaine_1[[#This Row],[Date]],"MMMM")</f>
        <v>mars</v>
      </c>
    </row>
    <row r="209" spans="1:16" x14ac:dyDescent="0.45">
      <c r="A209" s="11">
        <v>46107</v>
      </c>
      <c r="B209" s="12" t="s">
        <v>31</v>
      </c>
      <c r="C209" s="12" t="s">
        <v>32</v>
      </c>
      <c r="D209" s="12" t="s">
        <v>41</v>
      </c>
      <c r="E209" s="12" t="s">
        <v>58</v>
      </c>
      <c r="F209" s="12">
        <v>775894235</v>
      </c>
      <c r="G209" s="12" t="s">
        <v>16</v>
      </c>
      <c r="H209" s="12" t="s">
        <v>13</v>
      </c>
      <c r="I209" s="12" t="s">
        <v>17</v>
      </c>
      <c r="J209" s="12" t="s">
        <v>33</v>
      </c>
      <c r="K209" s="12" t="s">
        <v>57</v>
      </c>
      <c r="L209" s="12">
        <v>3</v>
      </c>
      <c r="M209" s="13">
        <v>54000</v>
      </c>
      <c r="N209" s="13">
        <v>162000</v>
      </c>
      <c r="O209" s="14" t="str">
        <f>"S"&amp;_xlfn.ISOWEEKNUM(Semaine_1[[#This Row],[Date]])</f>
        <v>S13</v>
      </c>
      <c r="P209" s="15" t="str">
        <f>TEXT(Semaine_1[[#This Row],[Date]],"MMMM")</f>
        <v>mars</v>
      </c>
    </row>
    <row r="210" spans="1:16" x14ac:dyDescent="0.45">
      <c r="A210" s="11">
        <v>46107</v>
      </c>
      <c r="B210" s="12" t="s">
        <v>74</v>
      </c>
      <c r="C210" s="12" t="s">
        <v>67</v>
      </c>
      <c r="D210" s="12" t="s">
        <v>67</v>
      </c>
      <c r="E210" s="12" t="s">
        <v>226</v>
      </c>
      <c r="F210" s="12">
        <v>773122246</v>
      </c>
      <c r="G210" s="12" t="s">
        <v>16</v>
      </c>
      <c r="H210" s="12" t="s">
        <v>13</v>
      </c>
      <c r="I210" s="12" t="s">
        <v>17</v>
      </c>
      <c r="J210" s="12" t="s">
        <v>63</v>
      </c>
      <c r="K210" s="12" t="s">
        <v>37</v>
      </c>
      <c r="L210" s="12">
        <v>25</v>
      </c>
      <c r="M210" s="13">
        <v>26000</v>
      </c>
      <c r="N210" s="13">
        <v>650000</v>
      </c>
      <c r="O210" s="14" t="str">
        <f>"S"&amp;_xlfn.ISOWEEKNUM(Semaine_1[[#This Row],[Date]])</f>
        <v>S13</v>
      </c>
      <c r="P210" s="15" t="str">
        <f>TEXT(Semaine_1[[#This Row],[Date]],"MMMM")</f>
        <v>mars</v>
      </c>
    </row>
    <row r="211" spans="1:16" x14ac:dyDescent="0.45">
      <c r="A211" s="11">
        <v>46107</v>
      </c>
      <c r="B211" s="12" t="s">
        <v>74</v>
      </c>
      <c r="C211" s="12" t="s">
        <v>67</v>
      </c>
      <c r="D211" s="12" t="s">
        <v>68</v>
      </c>
      <c r="E211" s="12" t="s">
        <v>236</v>
      </c>
      <c r="F211" s="12">
        <v>772313191</v>
      </c>
      <c r="G211" s="12" t="s">
        <v>16</v>
      </c>
      <c r="H211" s="12" t="s">
        <v>155</v>
      </c>
      <c r="I211" s="12" t="s">
        <v>17</v>
      </c>
      <c r="J211" s="12" t="s">
        <v>63</v>
      </c>
      <c r="K211" s="12" t="s">
        <v>37</v>
      </c>
      <c r="L211" s="12">
        <v>300</v>
      </c>
      <c r="M211" s="13">
        <v>26000</v>
      </c>
      <c r="N211" s="13">
        <v>7800000</v>
      </c>
      <c r="O211" s="14" t="str">
        <f>"S"&amp;_xlfn.ISOWEEKNUM(Semaine_1[[#This Row],[Date]])</f>
        <v>S13</v>
      </c>
      <c r="P211" s="15" t="str">
        <f>TEXT(Semaine_1[[#This Row],[Date]],"MMMM")</f>
        <v>mars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2026-03-29T01:40:23Z</dcterms:modified>
</cp:coreProperties>
</file>