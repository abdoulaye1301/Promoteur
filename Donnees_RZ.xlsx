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654ED5B5-928C-423C-B216-4FF75356991F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4" i="2" l="1"/>
  <c r="P54" i="2"/>
  <c r="O53" i="2"/>
  <c r="P53" i="2"/>
  <c r="O52" i="2"/>
  <c r="P52" i="2"/>
  <c r="O51" i="2"/>
  <c r="P51" i="2"/>
  <c r="O50" i="2"/>
  <c r="P50" i="2"/>
  <c r="O49" i="2"/>
  <c r="P49" i="2"/>
  <c r="O48" i="2"/>
  <c r="P48" i="2"/>
  <c r="O46" i="2"/>
  <c r="O47" i="2"/>
  <c r="P46" i="2"/>
  <c r="P47" i="2"/>
  <c r="O44" i="2"/>
  <c r="O45" i="2"/>
  <c r="P44" i="2"/>
  <c r="P45" i="2"/>
  <c r="O42" i="2"/>
  <c r="O43" i="2"/>
  <c r="P42" i="2"/>
  <c r="P43" i="2"/>
  <c r="O41" i="2"/>
  <c r="P41" i="2"/>
  <c r="O38" i="2"/>
  <c r="O39" i="2"/>
  <c r="O40" i="2"/>
  <c r="P38" i="2"/>
  <c r="P39" i="2"/>
  <c r="P40" i="2"/>
  <c r="O37" i="2"/>
  <c r="P37" i="2"/>
  <c r="O35" i="2"/>
  <c r="O36" i="2"/>
  <c r="P35" i="2"/>
  <c r="P36" i="2"/>
  <c r="O32" i="2"/>
  <c r="O33" i="2"/>
  <c r="O34" i="2"/>
  <c r="P32" i="2"/>
  <c r="P33" i="2"/>
  <c r="P34" i="2"/>
  <c r="O31" i="2"/>
  <c r="P31" i="2"/>
  <c r="O29" i="2"/>
  <c r="O30" i="2"/>
  <c r="P29" i="2"/>
  <c r="P30" i="2"/>
  <c r="O28" i="2"/>
  <c r="P28" i="2"/>
  <c r="O25" i="2"/>
  <c r="O26" i="2"/>
  <c r="O27" i="2"/>
  <c r="P25" i="2"/>
  <c r="P26" i="2"/>
  <c r="P27" i="2"/>
  <c r="O24" i="2"/>
  <c r="P24" i="2"/>
  <c r="O23" i="2"/>
  <c r="P23" i="2"/>
  <c r="O22" i="2"/>
  <c r="P22" i="2"/>
  <c r="O21" i="2"/>
  <c r="P21" i="2"/>
  <c r="O20" i="2"/>
  <c r="P20" i="2"/>
  <c r="O18" i="2"/>
  <c r="O19" i="2"/>
  <c r="P18" i="2"/>
  <c r="P19" i="2"/>
  <c r="O17" i="2"/>
  <c r="P17" i="2"/>
  <c r="O16" i="2"/>
  <c r="P16" i="2"/>
  <c r="O14" i="2"/>
  <c r="O15" i="2"/>
  <c r="P14" i="2"/>
  <c r="P15" i="2"/>
  <c r="O8" i="2"/>
  <c r="O9" i="2"/>
  <c r="O10" i="2"/>
  <c r="O11" i="2"/>
  <c r="O12" i="2"/>
  <c r="O13" i="2"/>
  <c r="P8" i="2"/>
  <c r="P9" i="2"/>
  <c r="P10" i="2"/>
  <c r="P11" i="2"/>
  <c r="P12" i="2"/>
  <c r="P13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<sst xmlns="http://schemas.openxmlformats.org/spreadsheetml/2006/main" count="493" uniqueCount="122">
  <si>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</si>
  <si>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</si>
  <si>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</si>
  <si>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</si>
  <si>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</si>
  <si>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</si>
  <si>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</si>
  <si>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</si>
  <si>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</si>
  <si>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</si>
  <si>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</si>
  <si>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</si>
  <si>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</si>
  <si>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</si>
  <si>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</si>
  <si>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</si>
  <si>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</si>
  <si>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</si>
  <si>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</si>
  <si>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</si>
  <si>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</si>
  <si>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</si>
  <si>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</si>
  <si>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</si>
  <si>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</si>
  <si>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</si>
  <si>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</si>
  <si>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</si>
  <si>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</si>
  <si>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</si>
  <si>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</si>
  <si>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</si>
  <si>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</si>
  <si>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</si>
  <si>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</si>
  <si>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</si>
  <si>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</si>
  <si>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</si>
  <si>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</si>
  <si>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</si>
  <si>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</si>
  <si>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</si>
  <si>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</si>
  <si>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</si>
  <si>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</si>
  <si>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</si>
  <si>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</si>
  <si>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</si>
  <si>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</si>
  <si>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</si>
  <si>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</si>
  <si>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</si>
  <si>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</si>
  <si>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</si>
  <si>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</si>
  <si>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</si>
  <si>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</si>
  <si>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</si>
  <si>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</si>
  <si>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</si>
  <si>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</si>
  <si>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</si>
  <si>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</si>
  <si>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</si>
  <si>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</si>
  <si>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</si>
  <si>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</si>
  <si>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</si>
  <si>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</si>
  <si>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</si>
  <si>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</si>
  <si>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</si>
  <si>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</si>
  <si>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</si>
  <si>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</si>
  <si>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</si>
  <si>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</si>
  <si>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</si>
  <si>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</si>
  <si>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</si>
  <si>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</si>
  <si>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</si>
  <si>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</si>
  <si>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</si>
  <si>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</si>
  <si>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</si>
  <si>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</si>
  <si>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</si>
  <si>
    <t>Ndack NDAO</t>
  </si>
  <si>
    <t>GUEDIAWAYE</t>
  </si>
  <si>
    <t>Yeumbeul Mbéde Sass</t>
  </si>
  <si>
    <t>MAMDOU DIA</t>
  </si>
  <si>
    <t>Alpha</t>
  </si>
  <si>
    <t xml:space="preserve">Sa reste </t>
  </si>
  <si>
    <t>Ablaye</t>
  </si>
  <si>
    <t>Client satisfait</t>
  </si>
  <si>
    <t>Elhadj</t>
  </si>
  <si>
    <t>Bassirou NDAO</t>
  </si>
  <si>
    <t>Ben Tally</t>
  </si>
  <si>
    <t>Sow</t>
  </si>
  <si>
    <t xml:space="preserve">À demain </t>
  </si>
  <si>
    <t>Ameth</t>
  </si>
  <si>
    <t>Keur Mbaye Fall</t>
  </si>
  <si>
    <t>Alassane Diallo</t>
  </si>
  <si>
    <t>Niacrobe</t>
  </si>
  <si>
    <t>Mbacké</t>
  </si>
  <si>
    <t>Mbao</t>
  </si>
  <si>
    <t>Abdou Leye</t>
  </si>
  <si>
    <t>Mactar Diallo</t>
  </si>
  <si>
    <t>Rufisque</t>
  </si>
  <si>
    <t>Cheikh Bara</t>
  </si>
  <si>
    <t>S'il veuillez rectifier demi-gros par grossiste</t>
  </si>
  <si>
    <t>Stapro.com SARL n2</t>
  </si>
  <si>
    <t>Marché Ndiaréme</t>
  </si>
  <si>
    <t>THIERNO SOULEYMANE</t>
  </si>
  <si>
    <t>Marché Bou Bess</t>
  </si>
  <si>
    <t>MOUSTAPHA DIALLO</t>
  </si>
  <si>
    <t>Boubacar Diallo</t>
  </si>
  <si>
    <t>Mballo Séye</t>
  </si>
  <si>
    <t>Ismaïla</t>
  </si>
  <si>
    <t>Dramé</t>
  </si>
  <si>
    <t xml:space="preserve">RAS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</si>
</sst>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54" totalsRowShown="0" headerRowDxfId="18" headerRowBorderDxfId="17" tableBorderDxfId="16">
  <autoFilter ref="A1:P54" xr:uid="{FC757211-1341-459A-BE29-FAC5D7146FA5}">
    <filterColumn colId="1">
      <filters>
        <filter val="Seynabou SOW"/>
      </filters>
    </filterColumn>
  </autoFilter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54"/>
  <sheetViews>
    <sheetView tabSelected="1" zoomScale="79" zoomScaleNormal="79" workbookViewId="0">
      <selection activeCell="E35" sqref="E35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idden="1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7" t="str">
        <f>"S"&amp;_xlfn.ISOWEEKNUM(Semaine_1[[#This Row],[Date]])</f>
        <v>S47</v>
      </c>
      <c r="P2" t="str">
        <f>TEXT(Semaine_1[[#This Row],[Date]],"MMMM")</f>
        <v>novembre</v>
      </c>
    </row>
    <row r="3" spans="1:16" hidden="1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7" t="str">
        <f>"S"&amp;_xlfn.ISOWEEKNUM(Semaine_1[[#This Row],[Date]])</f>
        <v>S47</v>
      </c>
      <c r="P3" t="str">
        <f>TEXT(Semaine_1[[#This Row],[Date]],"MMMM")</f>
        <v>novembre</v>
      </c>
    </row>
    <row r="4" spans="1:16" hidden="1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7" t="str">
        <f>"S"&amp;_xlfn.ISOWEEKNUM(Semaine_1[[#This Row],[Date]])</f>
        <v>S47</v>
      </c>
      <c r="P4" t="str">
        <f>TEXT(Semaine_1[[#This Row],[Date]],"MMMM")</f>
        <v>novembre</v>
      </c>
    </row>
    <row r="5" spans="1:16" hidden="1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7" t="str">
        <f>"S"&amp;_xlfn.ISOWEEKNUM(Semaine_1[[#This Row],[Date]])</f>
        <v>S47</v>
      </c>
      <c r="P5" t="str">
        <f>TEXT(Semaine_1[[#This Row],[Date]],"MMMM")</f>
        <v>novembre</v>
      </c>
    </row>
    <row r="6" spans="1:16" hidden="1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7" t="str">
        <f>"S"&amp;_xlfn.ISOWEEKNUM(Semaine_1[[#This Row],[Date]])</f>
        <v>S47</v>
      </c>
      <c r="P6" t="str">
        <f>TEXT(Semaine_1[[#This Row],[Date]],"MMMM")</f>
        <v>novembre</v>
      </c>
    </row>
    <row r="7" spans="1:16" hidden="1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7" t="str">
        <f>"S"&amp;_xlfn.ISOWEEKNUM(Semaine_1[[#This Row],[Date]])</f>
        <v>S47</v>
      </c>
      <c r="P7" t="str">
        <f>TEXT(Semaine_1[[#This Row],[Date]],"MMMM")</f>
        <v>novembre</v>
      </c>
    </row>
    <row r="8" spans="1:16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7" t="str">
        <f>"S"&amp;_xlfn.ISOWEEKNUM(Semaine_1[[#This Row],[Date]])</f>
        <v>S47</v>
      </c>
      <c r="P8" t="str">
        <f>TEXT(Semaine_1[[#This Row],[Date]],"MMMM")</f>
        <v>novembre</v>
      </c>
    </row>
    <row r="9" spans="1:16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7" t="str">
        <f>"S"&amp;_xlfn.ISOWEEKNUM(Semaine_1[[#This Row],[Date]])</f>
        <v>S47</v>
      </c>
      <c r="P9" t="str">
        <f>TEXT(Semaine_1[[#This Row],[Date]],"MMMM")</f>
        <v>novembre</v>
      </c>
    </row>
    <row r="10" spans="1:16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7" t="str">
        <f>"S"&amp;_xlfn.ISOWEEKNUM(Semaine_1[[#This Row],[Date]])</f>
        <v>S47</v>
      </c>
      <c r="P10" t="str">
        <f>TEXT(Semaine_1[[#This Row],[Date]],"MMMM")</f>
        <v>novembre</v>
      </c>
    </row>
    <row r="11" spans="1:16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7" t="str">
        <f>"S"&amp;_xlfn.ISOWEEKNUM(Semaine_1[[#This Row],[Date]])</f>
        <v>S47</v>
      </c>
      <c r="P11" t="str">
        <f>TEXT(Semaine_1[[#This Row],[Date]],"MMMM")</f>
        <v>novembre</v>
      </c>
    </row>
    <row r="12" spans="1:16" hidden="1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7" t="str">
        <f>"S"&amp;_xlfn.ISOWEEKNUM(Semaine_1[[#This Row],[Date]])</f>
        <v>S47</v>
      </c>
      <c r="P12" t="str">
        <f>TEXT(Semaine_1[[#This Row],[Date]],"MMMM")</f>
        <v>novembre</v>
      </c>
    </row>
    <row r="13" spans="1:16" hidden="1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7" t="str">
        <f>"S"&amp;_xlfn.ISOWEEKNUM(Semaine_1[[#This Row],[Date]])</f>
        <v>S47</v>
      </c>
      <c r="P13" t="str">
        <f>TEXT(Semaine_1[[#This Row],[Date]],"MMMM")</f>
        <v>novembre</v>
      </c>
    </row>
    <row r="14" spans="1:16" hidden="1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7" t="str">
        <f>"S"&amp;_xlfn.ISOWEEKNUM(Semaine_1[[#This Row],[Date]])</f>
        <v>S47</v>
      </c>
      <c r="P14" t="str">
        <f>TEXT(Semaine_1[[#This Row],[Date]],"MMMM")</f>
        <v>novembre</v>
      </c>
    </row>
    <row r="15" spans="1:16" hidden="1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7" t="str">
        <f>"S"&amp;_xlfn.ISOWEEKNUM(Semaine_1[[#This Row],[Date]])</f>
        <v>S47</v>
      </c>
      <c r="P15" t="str">
        <f>TEXT(Semaine_1[[#This Row],[Date]],"MMMM")</f>
        <v>novembre</v>
      </c>
    </row>
    <row r="16" spans="1:16" hidden="1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S47</v>
      </c>
      <c r="P16" t="str">
        <f>TEXT(Semaine_1[[#This Row],[Date]],"MMMM")</f>
        <v>novembre</v>
      </c>
    </row>
    <row r="17" spans="1:16" hidden="1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S47</v>
      </c>
      <c r="P17" t="str">
        <f>TEXT(Semaine_1[[#This Row],[Date]],"MMMM")</f>
        <v>novembre</v>
      </c>
    </row>
    <row r="18" spans="1:16" hidden="1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7" t="str">
        <f>"S"&amp;_xlfn.ISOWEEKNUM(Semaine_1[[#This Row],[Date]])</f>
        <v>S47</v>
      </c>
      <c r="P18" t="str">
        <f>TEXT(Semaine_1[[#This Row],[Date]],"MMMM")</f>
        <v>novembre</v>
      </c>
    </row>
    <row r="19" spans="1:16" hidden="1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7" t="str">
        <f>"S"&amp;_xlfn.ISOWEEKNUM(Semaine_1[[#This Row],[Date]])</f>
        <v>S47</v>
      </c>
      <c r="P19" t="str">
        <f>TEXT(Semaine_1[[#This Row],[Date]],"MMMM")</f>
        <v>novembre</v>
      </c>
    </row>
    <row r="20" spans="1:16" hidden="1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7" t="str">
        <f>"S"&amp;_xlfn.ISOWEEKNUM(Semaine_1[[#This Row],[Date]])</f>
        <v>S47</v>
      </c>
      <c r="P20" t="str">
        <f>TEXT(Semaine_1[[#This Row],[Date]],"MMMM")</f>
        <v>novembre</v>
      </c>
    </row>
    <row r="21" spans="1:16" hidden="1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7" t="str">
        <f>"S"&amp;_xlfn.ISOWEEKNUM(Semaine_1[[#This Row],[Date]])</f>
        <v>S47</v>
      </c>
      <c r="P21" t="str">
        <f>TEXT(Semaine_1[[#This Row],[Date]],"MMMM")</f>
        <v>novembre</v>
      </c>
    </row>
    <row r="22" spans="1:16" hidden="1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7" t="str">
        <f>"S"&amp;_xlfn.ISOWEEKNUM(Semaine_1[[#This Row],[Date]])</f>
        <v>S47</v>
      </c>
      <c r="P22" t="str">
        <f>TEXT(Semaine_1[[#This Row],[Date]],"MMMM")</f>
        <v>novembre</v>
      </c>
    </row>
    <row r="23" spans="1:16" ht="28.15" hidden="1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7" t="str">
        <f>"S"&amp;_xlfn.ISOWEEKNUM(Semaine_1[[#This Row],[Date]])</f>
        <v>S47</v>
      </c>
      <c r="P23" t="str">
        <f>TEXT(Semaine_1[[#This Row],[Date]],"MMMM")</f>
        <v>novembre</v>
      </c>
    </row>
    <row r="24" spans="1:16" hidden="1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7" t="str">
        <f>"S"&amp;_xlfn.ISOWEEKNUM(Semaine_1[[#This Row],[Date]])</f>
        <v>S47</v>
      </c>
      <c r="P24" t="str">
        <f>TEXT(Semaine_1[[#This Row],[Date]],"MMMM")</f>
        <v>novembre</v>
      </c>
    </row>
    <row r="25" spans="1:16" hidden="1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7" t="str">
        <f>"S"&amp;_xlfn.ISOWEEKNUM(Semaine_1[[#This Row],[Date]])</f>
        <v>S47</v>
      </c>
      <c r="P25" t="str">
        <f>TEXT(Semaine_1[[#This Row],[Date]],"MMMM")</f>
        <v>novembre</v>
      </c>
    </row>
    <row r="26" spans="1:16" hidden="1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7" t="str">
        <f>"S"&amp;_xlfn.ISOWEEKNUM(Semaine_1[[#This Row],[Date]])</f>
        <v>S47</v>
      </c>
      <c r="P26" t="str">
        <f>TEXT(Semaine_1[[#This Row],[Date]],"MMMM")</f>
        <v>novembre</v>
      </c>
    </row>
    <row r="27" spans="1:16" hidden="1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7" t="str">
        <f>"S"&amp;_xlfn.ISOWEEKNUM(Semaine_1[[#This Row],[Date]])</f>
        <v>S47</v>
      </c>
      <c r="P27" t="str">
        <f>TEXT(Semaine_1[[#This Row],[Date]],"MMMM")</f>
        <v>novembre</v>
      </c>
    </row>
    <row r="28" spans="1:16" hidden="1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7" t="str">
        <f>"S"&amp;_xlfn.ISOWEEKNUM(Semaine_1[[#This Row],[Date]])</f>
        <v>S47</v>
      </c>
      <c r="P28" t="str">
        <f>TEXT(Semaine_1[[#This Row],[Date]],"MMMM")</f>
        <v>novembre</v>
      </c>
    </row>
    <row r="29" spans="1:16" hidden="1" x14ac:dyDescent="0.45">
      <c r="A29" s="8">
        <v>45983</v>
      </c>
      <c r="B29" s="9" t="s">
        <v>88</v>
      </c>
      <c r="C29" s="9" t="s">
        <v>89</v>
      </c>
      <c r="D29" s="9" t="s">
        <v>90</v>
      </c>
      <c r="E29" s="9" t="s">
        <v>91</v>
      </c>
      <c r="F29" s="9">
        <v>768059355</v>
      </c>
      <c r="G29" s="9" t="s">
        <v>16</v>
      </c>
      <c r="H29" s="9" t="s">
        <v>13</v>
      </c>
      <c r="I29" s="9" t="s">
        <v>17</v>
      </c>
      <c r="J29" s="10" t="s">
        <v>21</v>
      </c>
      <c r="K29" s="9" t="s">
        <v>68</v>
      </c>
      <c r="L29" s="9">
        <v>50</v>
      </c>
      <c r="M29" s="11">
        <v>30000</v>
      </c>
      <c r="N29" s="11">
        <v>1500000</v>
      </c>
      <c r="O29" s="7" t="str">
        <f>"S"&amp;_xlfn.ISOWEEKNUM(Semaine_1[[#This Row],[Date]])</f>
        <v>S47</v>
      </c>
      <c r="P29" t="str">
        <f>TEXT(Semaine_1[[#This Row],[Date]],"MMMM")</f>
        <v>novembre</v>
      </c>
    </row>
    <row r="30" spans="1:16" hidden="1" x14ac:dyDescent="0.45">
      <c r="A30" s="8">
        <v>45983</v>
      </c>
      <c r="B30" s="9" t="s">
        <v>88</v>
      </c>
      <c r="C30" s="9" t="s">
        <v>89</v>
      </c>
      <c r="D30" s="9" t="s">
        <v>90</v>
      </c>
      <c r="E30" s="9" t="s">
        <v>91</v>
      </c>
      <c r="F30" s="9">
        <v>768059355</v>
      </c>
      <c r="G30" s="9" t="s">
        <v>16</v>
      </c>
      <c r="H30" s="9" t="s">
        <v>13</v>
      </c>
      <c r="I30" s="9" t="s">
        <v>17</v>
      </c>
      <c r="J30" s="10" t="s">
        <v>21</v>
      </c>
      <c r="K30" s="9" t="s">
        <v>68</v>
      </c>
      <c r="L30" s="9">
        <v>50</v>
      </c>
      <c r="M30" s="11">
        <v>30000</v>
      </c>
      <c r="N30" s="11">
        <v>1500000</v>
      </c>
      <c r="O30" s="7" t="str">
        <f>"S"&amp;_xlfn.ISOWEEKNUM(Semaine_1[[#This Row],[Date]])</f>
        <v>S47</v>
      </c>
      <c r="P30" t="str">
        <f>TEXT(Semaine_1[[#This Row],[Date]],"MMMM")</f>
        <v>novembre</v>
      </c>
    </row>
    <row r="31" spans="1:16" x14ac:dyDescent="0.45">
      <c r="A31" s="8">
        <v>45980</v>
      </c>
      <c r="B31" s="9" t="s">
        <v>51</v>
      </c>
      <c r="C31" s="9" t="s">
        <v>52</v>
      </c>
      <c r="D31" s="9" t="s">
        <v>56</v>
      </c>
      <c r="E31" s="9" t="s">
        <v>92</v>
      </c>
      <c r="F31" s="9">
        <v>704738232</v>
      </c>
      <c r="G31" s="9" t="s">
        <v>49</v>
      </c>
      <c r="H31" s="9" t="s">
        <v>13</v>
      </c>
      <c r="I31" s="9" t="s">
        <v>17</v>
      </c>
      <c r="J31" s="10" t="s">
        <v>93</v>
      </c>
      <c r="K31" s="9" t="s">
        <v>72</v>
      </c>
      <c r="L31" s="9">
        <v>25</v>
      </c>
      <c r="M31" s="11">
        <v>26000</v>
      </c>
      <c r="N31" s="11">
        <v>650000</v>
      </c>
      <c r="O31" s="7" t="str">
        <f>"S"&amp;_xlfn.ISOWEEKNUM(Semaine_1[[#This Row],[Date]])</f>
        <v>S47</v>
      </c>
      <c r="P31" t="str">
        <f>TEXT(Semaine_1[[#This Row],[Date]],"MMMM")</f>
        <v>novembre</v>
      </c>
    </row>
    <row r="32" spans="1:16" hidden="1" x14ac:dyDescent="0.45">
      <c r="A32" s="8">
        <v>45985</v>
      </c>
      <c r="B32" s="9" t="s">
        <v>22</v>
      </c>
      <c r="C32" s="9" t="s">
        <v>23</v>
      </c>
      <c r="D32" s="9" t="s">
        <v>23</v>
      </c>
      <c r="E32" s="9" t="s">
        <v>94</v>
      </c>
      <c r="F32" s="9">
        <v>773122246</v>
      </c>
      <c r="G32" s="9" t="s">
        <v>16</v>
      </c>
      <c r="H32" s="9" t="s">
        <v>13</v>
      </c>
      <c r="I32" s="9" t="s">
        <v>17</v>
      </c>
      <c r="J32" s="10" t="s">
        <v>95</v>
      </c>
      <c r="K32" s="9" t="s">
        <v>72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S48</v>
      </c>
      <c r="P32" t="str">
        <f>TEXT(Semaine_1[[#This Row],[Date]],"MMMM")</f>
        <v>novembre</v>
      </c>
    </row>
    <row r="33" spans="1:16" hidden="1" x14ac:dyDescent="0.45">
      <c r="A33" s="8">
        <v>45985</v>
      </c>
      <c r="B33" s="9" t="s">
        <v>14</v>
      </c>
      <c r="C33" s="9" t="s">
        <v>15</v>
      </c>
      <c r="D33" s="9" t="s">
        <v>28</v>
      </c>
      <c r="E33" s="9" t="s">
        <v>96</v>
      </c>
      <c r="F33" s="9">
        <v>779676016</v>
      </c>
      <c r="G33" s="9" t="s">
        <v>16</v>
      </c>
      <c r="H33" s="9" t="s">
        <v>13</v>
      </c>
      <c r="I33" s="9" t="s">
        <v>17</v>
      </c>
      <c r="J33" s="10" t="s">
        <v>17</v>
      </c>
      <c r="K33" s="9" t="s">
        <v>72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S48</v>
      </c>
      <c r="P33" t="str">
        <f>TEXT(Semaine_1[[#This Row],[Date]],"MMMM")</f>
        <v>novembre</v>
      </c>
    </row>
    <row r="34" spans="1:16" hidden="1" x14ac:dyDescent="0.45">
      <c r="A34" s="8">
        <v>45985</v>
      </c>
      <c r="B34" s="9" t="s">
        <v>14</v>
      </c>
      <c r="C34" s="9" t="s">
        <v>15</v>
      </c>
      <c r="D34" s="9" t="s">
        <v>28</v>
      </c>
      <c r="E34" s="9" t="s">
        <v>76</v>
      </c>
      <c r="F34" s="9">
        <v>778195274</v>
      </c>
      <c r="G34" s="9" t="s">
        <v>16</v>
      </c>
      <c r="H34" s="9" t="s">
        <v>13</v>
      </c>
      <c r="I34" s="9" t="s">
        <v>17</v>
      </c>
      <c r="J34" s="10" t="s">
        <v>17</v>
      </c>
      <c r="K34" s="9" t="s">
        <v>72</v>
      </c>
      <c r="L34" s="9">
        <v>50</v>
      </c>
      <c r="M34" s="11">
        <v>26000</v>
      </c>
      <c r="N34" s="11">
        <v>1300000</v>
      </c>
      <c r="O34" s="7" t="str">
        <f>"S"&amp;_xlfn.ISOWEEKNUM(Semaine_1[[#This Row],[Date]])</f>
        <v>S48</v>
      </c>
      <c r="P34" t="str">
        <f>TEXT(Semaine_1[[#This Row],[Date]],"MMMM")</f>
        <v>novembre</v>
      </c>
    </row>
    <row r="35" spans="1:16" x14ac:dyDescent="0.45">
      <c r="A35" s="8">
        <v>45985</v>
      </c>
      <c r="B35" s="9" t="s">
        <v>51</v>
      </c>
      <c r="C35" s="9" t="s">
        <v>52</v>
      </c>
      <c r="D35" s="9" t="s">
        <v>61</v>
      </c>
      <c r="E35" s="9" t="s">
        <v>97</v>
      </c>
      <c r="F35" s="9">
        <v>775544532</v>
      </c>
      <c r="G35" s="9" t="s">
        <v>49</v>
      </c>
      <c r="H35" s="9" t="s">
        <v>13</v>
      </c>
      <c r="I35" s="9" t="s">
        <v>17</v>
      </c>
      <c r="J35" s="10" t="s">
        <v>58</v>
      </c>
      <c r="K35" s="9" t="s">
        <v>72</v>
      </c>
      <c r="L35" s="9">
        <v>25</v>
      </c>
      <c r="M35" s="11">
        <v>26000</v>
      </c>
      <c r="N35" s="11">
        <v>650000</v>
      </c>
      <c r="O35" s="7" t="str">
        <f>"S"&amp;_xlfn.ISOWEEKNUM(Semaine_1[[#This Row],[Date]])</f>
        <v>S48</v>
      </c>
      <c r="P35" t="str">
        <f>TEXT(Semaine_1[[#This Row],[Date]],"MMMM")</f>
        <v>novembre</v>
      </c>
    </row>
    <row r="36" spans="1:16" x14ac:dyDescent="0.45">
      <c r="A36" s="8">
        <v>45985</v>
      </c>
      <c r="B36" s="9" t="s">
        <v>51</v>
      </c>
      <c r="C36" s="9" t="s">
        <v>52</v>
      </c>
      <c r="D36" s="9" t="s">
        <v>98</v>
      </c>
      <c r="E36" s="9" t="s">
        <v>99</v>
      </c>
      <c r="F36" s="9">
        <v>772788635</v>
      </c>
      <c r="G36" s="9" t="s">
        <v>49</v>
      </c>
      <c r="H36" s="9" t="s">
        <v>13</v>
      </c>
      <c r="I36" s="9" t="s">
        <v>17</v>
      </c>
      <c r="J36" s="10" t="s">
        <v>100</v>
      </c>
      <c r="K36" s="9" t="s">
        <v>72</v>
      </c>
      <c r="L36" s="9">
        <v>5</v>
      </c>
      <c r="M36" s="11">
        <v>26000</v>
      </c>
      <c r="N36" s="11">
        <v>130000</v>
      </c>
      <c r="O36" s="7" t="str">
        <f>"S"&amp;_xlfn.ISOWEEKNUM(Semaine_1[[#This Row],[Date]])</f>
        <v>S48</v>
      </c>
      <c r="P36" t="str">
        <f>TEXT(Semaine_1[[#This Row],[Date]],"MMMM")</f>
        <v>novembre</v>
      </c>
    </row>
    <row r="37" spans="1:16" hidden="1" x14ac:dyDescent="0.45">
      <c r="A37" s="8">
        <v>45986</v>
      </c>
      <c r="B37" s="9" t="s">
        <v>14</v>
      </c>
      <c r="C37" s="9" t="s">
        <v>15</v>
      </c>
      <c r="D37" s="9" t="s">
        <v>28</v>
      </c>
      <c r="E37" s="9" t="s">
        <v>101</v>
      </c>
      <c r="F37" s="9">
        <v>775602981</v>
      </c>
      <c r="G37" s="9" t="s">
        <v>16</v>
      </c>
      <c r="H37" s="9" t="s">
        <v>13</v>
      </c>
      <c r="I37" s="9" t="s">
        <v>17</v>
      </c>
      <c r="J37" s="10" t="s">
        <v>17</v>
      </c>
      <c r="K37" s="9" t="s">
        <v>85</v>
      </c>
      <c r="L37" s="9">
        <v>25</v>
      </c>
      <c r="M37" s="11">
        <v>12500</v>
      </c>
      <c r="N37" s="11">
        <v>312500</v>
      </c>
      <c r="O37" s="7" t="str">
        <f>"S"&amp;_xlfn.ISOWEEKNUM(Semaine_1[[#This Row],[Date]])</f>
        <v>S48</v>
      </c>
      <c r="P37" t="str">
        <f>TEXT(Semaine_1[[#This Row],[Date]],"MMMM")</f>
        <v>novembre</v>
      </c>
    </row>
    <row r="38" spans="1:16" hidden="1" x14ac:dyDescent="0.45">
      <c r="A38" s="8">
        <v>45986</v>
      </c>
      <c r="B38" s="9" t="s">
        <v>45</v>
      </c>
      <c r="C38" s="9" t="s">
        <v>46</v>
      </c>
      <c r="D38" s="9" t="s">
        <v>102</v>
      </c>
      <c r="E38" s="9" t="s">
        <v>103</v>
      </c>
      <c r="F38" s="9">
        <v>772289185</v>
      </c>
      <c r="G38" s="9" t="s">
        <v>16</v>
      </c>
      <c r="H38" s="9" t="s">
        <v>13</v>
      </c>
      <c r="I38" s="9" t="s">
        <v>17</v>
      </c>
      <c r="J38" s="10" t="s">
        <v>21</v>
      </c>
      <c r="K38" s="9" t="s">
        <v>72</v>
      </c>
      <c r="L38" s="9">
        <v>36</v>
      </c>
      <c r="M38" s="11">
        <v>26000</v>
      </c>
      <c r="N38" s="11">
        <v>936000</v>
      </c>
      <c r="O38" s="7" t="str">
        <f>"S"&amp;_xlfn.ISOWEEKNUM(Semaine_1[[#This Row],[Date]])</f>
        <v>S48</v>
      </c>
      <c r="P38" t="str">
        <f>TEXT(Semaine_1[[#This Row],[Date]],"MMMM")</f>
        <v>novembre</v>
      </c>
    </row>
    <row r="39" spans="1:16" hidden="1" x14ac:dyDescent="0.45">
      <c r="A39" s="8">
        <v>45986</v>
      </c>
      <c r="B39" s="9" t="s">
        <v>45</v>
      </c>
      <c r="C39" s="9" t="s">
        <v>46</v>
      </c>
      <c r="D39" s="9" t="s">
        <v>102</v>
      </c>
      <c r="E39" s="9" t="s">
        <v>103</v>
      </c>
      <c r="F39" s="9">
        <v>772289185</v>
      </c>
      <c r="G39" s="9" t="s">
        <v>16</v>
      </c>
      <c r="H39" s="9" t="s">
        <v>13</v>
      </c>
      <c r="I39" s="9" t="s">
        <v>17</v>
      </c>
      <c r="J39" s="10" t="s">
        <v>21</v>
      </c>
      <c r="K39" s="9" t="s">
        <v>29</v>
      </c>
      <c r="L39" s="9">
        <v>1</v>
      </c>
      <c r="M39" s="11">
        <v>9750</v>
      </c>
      <c r="N39" s="11">
        <v>9750</v>
      </c>
      <c r="O39" s="7" t="str">
        <f>"S"&amp;_xlfn.ISOWEEKNUM(Semaine_1[[#This Row],[Date]])</f>
        <v>S48</v>
      </c>
      <c r="P39" t="str">
        <f>TEXT(Semaine_1[[#This Row],[Date]],"MMMM")</f>
        <v>novembre</v>
      </c>
    </row>
    <row r="40" spans="1:16" hidden="1" x14ac:dyDescent="0.45">
      <c r="A40" s="8">
        <v>45986</v>
      </c>
      <c r="B40" s="9" t="s">
        <v>45</v>
      </c>
      <c r="C40" s="9" t="s">
        <v>46</v>
      </c>
      <c r="D40" s="9" t="s">
        <v>102</v>
      </c>
      <c r="E40" s="9" t="s">
        <v>103</v>
      </c>
      <c r="F40" s="9">
        <v>772289185</v>
      </c>
      <c r="G40" s="9" t="s">
        <v>16</v>
      </c>
      <c r="H40" s="9" t="s">
        <v>13</v>
      </c>
      <c r="I40" s="9" t="s">
        <v>17</v>
      </c>
      <c r="J40" s="10" t="s">
        <v>21</v>
      </c>
      <c r="K40" s="9" t="s">
        <v>32</v>
      </c>
      <c r="L40" s="9">
        <v>2</v>
      </c>
      <c r="M40" s="11">
        <v>19500</v>
      </c>
      <c r="N40" s="11">
        <v>39000</v>
      </c>
      <c r="O40" s="7" t="str">
        <f>"S"&amp;_xlfn.ISOWEEKNUM(Semaine_1[[#This Row],[Date]])</f>
        <v>S48</v>
      </c>
      <c r="P40" t="str">
        <f>TEXT(Semaine_1[[#This Row],[Date]],"MMMM")</f>
        <v>novembre</v>
      </c>
    </row>
    <row r="41" spans="1:16" hidden="1" x14ac:dyDescent="0.45">
      <c r="A41" s="8">
        <v>45986</v>
      </c>
      <c r="B41" s="9" t="s">
        <v>34</v>
      </c>
      <c r="C41" s="9" t="s">
        <v>35</v>
      </c>
      <c r="D41" s="9" t="s">
        <v>104</v>
      </c>
      <c r="E41" s="9" t="s">
        <v>105</v>
      </c>
      <c r="F41" s="9">
        <v>779235028</v>
      </c>
      <c r="G41" s="9" t="s">
        <v>16</v>
      </c>
      <c r="H41" s="9" t="s">
        <v>13</v>
      </c>
      <c r="I41" s="9" t="s">
        <v>17</v>
      </c>
      <c r="J41" s="10" t="s">
        <v>39</v>
      </c>
      <c r="K41" s="9" t="s">
        <v>72</v>
      </c>
      <c r="L41" s="9">
        <v>25</v>
      </c>
      <c r="M41" s="11">
        <v>26000</v>
      </c>
      <c r="N41" s="11">
        <v>650000</v>
      </c>
      <c r="O41" s="7" t="str">
        <f>"S"&amp;_xlfn.ISOWEEKNUM(Semaine_1[[#This Row],[Date]])</f>
        <v>S48</v>
      </c>
      <c r="P41" t="str">
        <f>TEXT(Semaine_1[[#This Row],[Date]],"MMMM")</f>
        <v>novembre</v>
      </c>
    </row>
    <row r="42" spans="1:16" hidden="1" x14ac:dyDescent="0.45">
      <c r="A42" s="8">
        <v>45986</v>
      </c>
      <c r="B42" s="9" t="s">
        <v>14</v>
      </c>
      <c r="C42" s="9" t="s">
        <v>15</v>
      </c>
      <c r="D42" s="9" t="s">
        <v>106</v>
      </c>
      <c r="E42" s="9" t="s">
        <v>107</v>
      </c>
      <c r="F42" s="9">
        <v>776327767</v>
      </c>
      <c r="G42" s="9" t="s">
        <v>49</v>
      </c>
      <c r="H42" s="9" t="s">
        <v>13</v>
      </c>
      <c r="I42" s="9" t="s">
        <v>17</v>
      </c>
      <c r="J42" s="10" t="s">
        <v>17</v>
      </c>
      <c r="K42" s="9" t="s">
        <v>72</v>
      </c>
      <c r="L42" s="9">
        <v>25</v>
      </c>
      <c r="M42" s="11">
        <v>26000</v>
      </c>
      <c r="N42" s="11">
        <v>650000</v>
      </c>
      <c r="O42" s="7" t="str">
        <f>"S"&amp;_xlfn.ISOWEEKNUM(Semaine_1[[#This Row],[Date]])</f>
        <v>S48</v>
      </c>
      <c r="P42" t="str">
        <f>TEXT(Semaine_1[[#This Row],[Date]],"MMMM")</f>
        <v>novembre</v>
      </c>
    </row>
    <row r="43" spans="1:16" hidden="1" x14ac:dyDescent="0.45">
      <c r="A43" s="8">
        <v>45986</v>
      </c>
      <c r="B43" s="9" t="s">
        <v>14</v>
      </c>
      <c r="C43" s="9" t="s">
        <v>15</v>
      </c>
      <c r="D43" s="9" t="s">
        <v>28</v>
      </c>
      <c r="E43" s="9" t="s">
        <v>108</v>
      </c>
      <c r="F43" s="9">
        <v>777313120</v>
      </c>
      <c r="G43" s="9" t="s">
        <v>16</v>
      </c>
      <c r="H43" s="9" t="s">
        <v>13</v>
      </c>
      <c r="I43" s="9" t="s">
        <v>17</v>
      </c>
      <c r="J43" s="10" t="s">
        <v>17</v>
      </c>
      <c r="K43" s="9" t="s">
        <v>68</v>
      </c>
      <c r="L43" s="9">
        <v>50</v>
      </c>
      <c r="M43" s="11">
        <v>30000</v>
      </c>
      <c r="N43" s="11">
        <v>1500000</v>
      </c>
      <c r="O43" s="7" t="str">
        <f>"S"&amp;_xlfn.ISOWEEKNUM(Semaine_1[[#This Row],[Date]])</f>
        <v>S48</v>
      </c>
      <c r="P43" t="str">
        <f>TEXT(Semaine_1[[#This Row],[Date]],"MMMM")</f>
        <v>novembre</v>
      </c>
    </row>
    <row r="44" spans="1:16" hidden="1" x14ac:dyDescent="0.45">
      <c r="A44" s="8">
        <v>45986</v>
      </c>
      <c r="B44" s="9" t="s">
        <v>22</v>
      </c>
      <c r="C44" s="9" t="s">
        <v>23</v>
      </c>
      <c r="D44" s="9" t="s">
        <v>109</v>
      </c>
      <c r="E44" s="9" t="s">
        <v>110</v>
      </c>
      <c r="F44" s="9">
        <v>779661523</v>
      </c>
      <c r="G44" s="9" t="s">
        <v>16</v>
      </c>
      <c r="H44" s="9" t="s">
        <v>13</v>
      </c>
      <c r="I44" s="9" t="s">
        <v>17</v>
      </c>
      <c r="J44" s="10" t="s">
        <v>111</v>
      </c>
      <c r="K44" s="9" t="s">
        <v>72</v>
      </c>
      <c r="L44" s="9">
        <v>25</v>
      </c>
      <c r="M44" s="11">
        <v>26000</v>
      </c>
      <c r="N44" s="11">
        <v>650000</v>
      </c>
      <c r="O44" s="7" t="str">
        <f>"S"&amp;_xlfn.ISOWEEKNUM(Semaine_1[[#This Row],[Date]])</f>
        <v>S48</v>
      </c>
      <c r="P44" t="str">
        <f>TEXT(Semaine_1[[#This Row],[Date]],"MMMM")</f>
        <v>novembre</v>
      </c>
    </row>
    <row r="45" spans="1:16" hidden="1" x14ac:dyDescent="0.45">
      <c r="A45" s="8">
        <v>45986</v>
      </c>
      <c r="B45" s="9" t="s">
        <v>22</v>
      </c>
      <c r="C45" s="9" t="s">
        <v>23</v>
      </c>
      <c r="D45" s="9" t="s">
        <v>23</v>
      </c>
      <c r="E45" s="9" t="s">
        <v>112</v>
      </c>
      <c r="F45" s="9">
        <v>775039973</v>
      </c>
      <c r="G45" s="9" t="s">
        <v>16</v>
      </c>
      <c r="H45" s="9" t="s">
        <v>13</v>
      </c>
      <c r="I45" s="9" t="s">
        <v>17</v>
      </c>
      <c r="J45" s="10" t="s">
        <v>95</v>
      </c>
      <c r="K45" s="9" t="s">
        <v>72</v>
      </c>
      <c r="L45" s="9">
        <v>50</v>
      </c>
      <c r="M45" s="11">
        <v>26000</v>
      </c>
      <c r="N45" s="11">
        <v>1300000</v>
      </c>
      <c r="O45" s="7" t="str">
        <f>"S"&amp;_xlfn.ISOWEEKNUM(Semaine_1[[#This Row],[Date]])</f>
        <v>S48</v>
      </c>
      <c r="P45" t="str">
        <f>TEXT(Semaine_1[[#This Row],[Date]],"MMMM")</f>
        <v>novembre</v>
      </c>
    </row>
    <row r="46" spans="1:16" hidden="1" x14ac:dyDescent="0.45">
      <c r="A46" s="8">
        <v>45991</v>
      </c>
      <c r="B46" s="9" t="s">
        <v>88</v>
      </c>
      <c r="C46" s="9" t="s">
        <v>89</v>
      </c>
      <c r="D46" s="9" t="s">
        <v>113</v>
      </c>
      <c r="E46" s="9" t="s">
        <v>114</v>
      </c>
      <c r="F46" s="9">
        <v>775405469</v>
      </c>
      <c r="G46" s="9" t="s">
        <v>16</v>
      </c>
      <c r="H46" s="9" t="s">
        <v>13</v>
      </c>
      <c r="I46" s="9" t="s">
        <v>17</v>
      </c>
      <c r="J46" s="10" t="s">
        <v>21</v>
      </c>
      <c r="K46" s="9" t="s">
        <v>72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S48</v>
      </c>
      <c r="P46" t="str">
        <f>TEXT(Semaine_1[[#This Row],[Date]],"MMMM")</f>
        <v>novembre</v>
      </c>
    </row>
    <row r="47" spans="1:16" hidden="1" x14ac:dyDescent="0.45">
      <c r="A47" s="8">
        <v>45991</v>
      </c>
      <c r="B47" s="9" t="s">
        <v>88</v>
      </c>
      <c r="C47" s="9" t="s">
        <v>89</v>
      </c>
      <c r="D47" s="9" t="s">
        <v>115</v>
      </c>
      <c r="E47" s="9" t="s">
        <v>116</v>
      </c>
      <c r="F47" s="9">
        <v>784537895</v>
      </c>
      <c r="G47" s="9" t="s">
        <v>16</v>
      </c>
      <c r="H47" s="9" t="s">
        <v>13</v>
      </c>
      <c r="I47" s="9" t="s">
        <v>17</v>
      </c>
      <c r="J47" s="10" t="s">
        <v>21</v>
      </c>
      <c r="K47" s="9" t="s">
        <v>72</v>
      </c>
      <c r="L47" s="9">
        <v>100</v>
      </c>
      <c r="M47" s="11">
        <v>26000</v>
      </c>
      <c r="N47" s="11">
        <v>2600000</v>
      </c>
      <c r="O47" s="7" t="str">
        <f>"S"&amp;_xlfn.ISOWEEKNUM(Semaine_1[[#This Row],[Date]])</f>
        <v>S48</v>
      </c>
      <c r="P47" t="str">
        <f>TEXT(Semaine_1[[#This Row],[Date]],"MMMM")</f>
        <v>novembre</v>
      </c>
    </row>
    <row r="48" spans="1:16" hidden="1" x14ac:dyDescent="0.45">
      <c r="A48" s="8">
        <v>45990</v>
      </c>
      <c r="B48" s="9" t="s">
        <v>45</v>
      </c>
      <c r="C48" s="9" t="s">
        <v>46</v>
      </c>
      <c r="D48" s="9" t="s">
        <v>102</v>
      </c>
      <c r="E48" s="9" t="s">
        <v>117</v>
      </c>
      <c r="F48" s="9">
        <v>772403781</v>
      </c>
      <c r="G48" s="9" t="s">
        <v>16</v>
      </c>
      <c r="H48" s="9" t="s">
        <v>13</v>
      </c>
      <c r="I48" s="9" t="s">
        <v>17</v>
      </c>
      <c r="J48" s="10" t="s">
        <v>21</v>
      </c>
      <c r="K48" s="9" t="s">
        <v>32</v>
      </c>
      <c r="L48" s="9">
        <v>3</v>
      </c>
      <c r="M48" s="11">
        <v>19500</v>
      </c>
      <c r="N48" s="11">
        <v>58500</v>
      </c>
      <c r="O48" s="7" t="str">
        <f>"S"&amp;_xlfn.ISOWEEKNUM(Semaine_1[[#This Row],[Date]])</f>
        <v>S48</v>
      </c>
      <c r="P48" t="str">
        <f>TEXT(Semaine_1[[#This Row],[Date]],"MMMM")</f>
        <v>novembre</v>
      </c>
    </row>
    <row r="49" spans="1:16" hidden="1" x14ac:dyDescent="0.45">
      <c r="A49" s="8">
        <v>45990</v>
      </c>
      <c r="B49" s="9" t="s">
        <v>45</v>
      </c>
      <c r="C49" s="9" t="s">
        <v>46</v>
      </c>
      <c r="D49" s="9" t="s">
        <v>102</v>
      </c>
      <c r="E49" s="9" t="s">
        <v>117</v>
      </c>
      <c r="F49" s="9">
        <v>772403781</v>
      </c>
      <c r="G49" s="9" t="s">
        <v>16</v>
      </c>
      <c r="H49" s="9" t="s">
        <v>13</v>
      </c>
      <c r="I49" s="9" t="s">
        <v>17</v>
      </c>
      <c r="J49" s="10" t="s">
        <v>21</v>
      </c>
      <c r="K49" s="9" t="s">
        <v>72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S48</v>
      </c>
      <c r="P49" t="str">
        <f>TEXT(Semaine_1[[#This Row],[Date]],"MMMM")</f>
        <v>novembre</v>
      </c>
    </row>
    <row r="50" spans="1:16" hidden="1" x14ac:dyDescent="0.45">
      <c r="A50" s="8">
        <v>45990</v>
      </c>
      <c r="B50" s="9" t="s">
        <v>45</v>
      </c>
      <c r="C50" s="9" t="s">
        <v>46</v>
      </c>
      <c r="D50" s="9" t="s">
        <v>102</v>
      </c>
      <c r="E50" s="9" t="s">
        <v>117</v>
      </c>
      <c r="F50" s="9">
        <v>772403781</v>
      </c>
      <c r="G50" s="9" t="s">
        <v>16</v>
      </c>
      <c r="H50" s="9" t="s">
        <v>13</v>
      </c>
      <c r="I50" s="9" t="s">
        <v>17</v>
      </c>
      <c r="J50" s="10" t="s">
        <v>21</v>
      </c>
      <c r="K50" s="9" t="s">
        <v>41</v>
      </c>
      <c r="L50" s="9">
        <v>2</v>
      </c>
      <c r="M50" s="11">
        <v>15500</v>
      </c>
      <c r="N50" s="11">
        <v>31000</v>
      </c>
      <c r="O50" s="7" t="str">
        <f>"S"&amp;_xlfn.ISOWEEKNUM(Semaine_1[[#This Row],[Date]])</f>
        <v>S48</v>
      </c>
      <c r="P50" t="str">
        <f>TEXT(Semaine_1[[#This Row],[Date]],"MMMM")</f>
        <v>novembre</v>
      </c>
    </row>
    <row r="51" spans="1:16" hidden="1" x14ac:dyDescent="0.45">
      <c r="A51" s="8">
        <v>45989</v>
      </c>
      <c r="B51" s="9" t="s">
        <v>22</v>
      </c>
      <c r="C51" s="9" t="s">
        <v>23</v>
      </c>
      <c r="D51" s="9" t="s">
        <v>109</v>
      </c>
      <c r="E51" s="9" t="s">
        <v>118</v>
      </c>
      <c r="F51" s="9">
        <v>765434141</v>
      </c>
      <c r="G51" s="9" t="s">
        <v>16</v>
      </c>
      <c r="H51" s="9" t="s">
        <v>36</v>
      </c>
      <c r="I51" s="9" t="s">
        <v>17</v>
      </c>
      <c r="J51" s="10" t="s">
        <v>95</v>
      </c>
      <c r="K51" s="9" t="s">
        <v>72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S48</v>
      </c>
      <c r="P51" t="str">
        <f>TEXT(Semaine_1[[#This Row],[Date]],"MMMM")</f>
        <v>novembre</v>
      </c>
    </row>
    <row r="52" spans="1:16" hidden="1" x14ac:dyDescent="0.45">
      <c r="A52" s="8">
        <v>45989</v>
      </c>
      <c r="B52" s="9" t="s">
        <v>22</v>
      </c>
      <c r="C52" s="9" t="s">
        <v>23</v>
      </c>
      <c r="D52" s="9" t="s">
        <v>109</v>
      </c>
      <c r="E52" s="9" t="s">
        <v>119</v>
      </c>
      <c r="F52" s="9">
        <v>776328716</v>
      </c>
      <c r="G52" s="9" t="s">
        <v>16</v>
      </c>
      <c r="H52" s="9" t="s">
        <v>13</v>
      </c>
      <c r="I52" s="9" t="s">
        <v>17</v>
      </c>
      <c r="J52" s="10" t="s">
        <v>95</v>
      </c>
      <c r="K52" s="9" t="s">
        <v>72</v>
      </c>
      <c r="L52" s="9">
        <v>25</v>
      </c>
      <c r="M52" s="11">
        <v>26000</v>
      </c>
      <c r="N52" s="11">
        <v>650000</v>
      </c>
      <c r="O52" s="7" t="str">
        <f>"S"&amp;_xlfn.ISOWEEKNUM(Semaine_1[[#This Row],[Date]])</f>
        <v>S48</v>
      </c>
      <c r="P52" t="str">
        <f>TEXT(Semaine_1[[#This Row],[Date]],"MMMM")</f>
        <v>novembre</v>
      </c>
    </row>
    <row r="53" spans="1:16" hidden="1" x14ac:dyDescent="0.45">
      <c r="A53" s="8">
        <v>45988</v>
      </c>
      <c r="B53" s="9" t="s">
        <v>88</v>
      </c>
      <c r="C53" s="9" t="s">
        <v>89</v>
      </c>
      <c r="D53" s="9" t="s">
        <v>115</v>
      </c>
      <c r="E53" s="9" t="s">
        <v>116</v>
      </c>
      <c r="F53" s="9">
        <v>784537895</v>
      </c>
      <c r="G53" s="9" t="s">
        <v>16</v>
      </c>
      <c r="H53" s="9" t="s">
        <v>13</v>
      </c>
      <c r="I53" s="9" t="s">
        <v>17</v>
      </c>
      <c r="J53" s="10" t="s">
        <v>21</v>
      </c>
      <c r="K53" s="9" t="s">
        <v>29</v>
      </c>
      <c r="L53" s="9">
        <v>25</v>
      </c>
      <c r="M53" s="11">
        <v>9750</v>
      </c>
      <c r="N53" s="11">
        <v>243750</v>
      </c>
      <c r="O53" s="7" t="str">
        <f>"S"&amp;_xlfn.ISOWEEKNUM(Semaine_1[[#This Row],[Date]])</f>
        <v>S48</v>
      </c>
      <c r="P53" t="str">
        <f>TEXT(Semaine_1[[#This Row],[Date]],"MMMM")</f>
        <v>novembre</v>
      </c>
    </row>
    <row r="54" spans="1:16" hidden="1" x14ac:dyDescent="0.45">
      <c r="A54" s="8">
        <v>45987</v>
      </c>
      <c r="B54" s="9" t="s">
        <v>34</v>
      </c>
      <c r="C54" s="9" t="s">
        <v>35</v>
      </c>
      <c r="D54" s="9" t="s">
        <v>104</v>
      </c>
      <c r="E54" s="9" t="s">
        <v>120</v>
      </c>
      <c r="F54" s="9">
        <v>705125807</v>
      </c>
      <c r="G54" s="9" t="s">
        <v>16</v>
      </c>
      <c r="H54" s="9" t="s">
        <v>13</v>
      </c>
      <c r="I54" s="9" t="s">
        <v>17</v>
      </c>
      <c r="J54" s="10" t="s">
        <v>121</v>
      </c>
      <c r="K54" s="9" t="s">
        <v>72</v>
      </c>
      <c r="L54" s="9">
        <v>25</v>
      </c>
      <c r="M54" s="11">
        <v>26000</v>
      </c>
      <c r="N54" s="11">
        <v>650000</v>
      </c>
      <c r="O54" s="7" t="str">
        <f>"S"&amp;_xlfn.ISOWEEKNUM(Semaine_1[[#This Row],[Date]])</f>
        <v>S48</v>
      </c>
      <c r="P54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2025-11-30T20:15:24Z</dcterms:modified>
</cp:coreProperties>
</file>