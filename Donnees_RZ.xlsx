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9F226531-924F-4196-8B38-DED060069886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1" i="2" l="1"/>
  <c r="P161" i="2"/>
  <c r="O159" i="2"/>
  <c r="O160" i="2"/>
  <c r="P159" i="2"/>
  <c r="P160" i="2"/>
  <c r="O157" i="2"/>
  <c r="O158" i="2"/>
  <c r="P157" i="2"/>
  <c r="P158" i="2"/>
  <c r="O155" i="2"/>
  <c r="O156" i="2"/>
  <c r="P155" i="2"/>
  <c r="P156" i="2"/>
  <c r="O153" i="2"/>
  <c r="O154" i="2"/>
  <c r="P153" i="2"/>
  <c r="P154" i="2"/>
  <c r="O152" i="2"/>
  <c r="P152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O138" i="2"/>
  <c r="O139" i="2"/>
  <c r="P138" i="2"/>
  <c r="P139" i="2"/>
  <c r="O137" i="2"/>
  <c r="P137" i="2"/>
  <c r="O136" i="2"/>
  <c r="P136" i="2"/>
  <c r="O135" i="2"/>
  <c r="P135" i="2"/>
  <c r="O133" i="2"/>
  <c r="O134" i="2"/>
  <c r="P133" i="2"/>
  <c r="P134" i="2"/>
  <c r="O130" i="2"/>
  <c r="O131" i="2"/>
  <c r="O132" i="2"/>
  <c r="P130" i="2"/>
  <c r="P131" i="2"/>
  <c r="P132" i="2"/>
  <c r="O127" i="2"/>
  <c r="O128" i="2"/>
  <c r="O129" i="2"/>
  <c r="P127" i="2"/>
  <c r="P128" i="2"/>
  <c r="P129" i="2"/>
  <c r="O126" i="2"/>
  <c r="P126" i="2"/>
  <c r="O125" i="2"/>
  <c r="P125" i="2"/>
  <c r="O124" i="2"/>
  <c r="P124" i="2"/>
  <c r="O122" i="2"/>
  <c r="O123" i="2"/>
  <c r="P122" i="2"/>
  <c r="P123" i="2"/>
  <c r="O121" i="2"/>
  <c r="P121" i="2"/>
  <c r="O117" i="2"/>
  <c r="O118" i="2"/>
  <c r="O119" i="2"/>
  <c r="O120" i="2"/>
  <c r="P117" i="2"/>
  <c r="P118" i="2"/>
  <c r="P119" i="2"/>
  <c r="P120" i="2"/>
  <c r="O116" i="2"/>
  <c r="P116" i="2"/>
  <c r="O112" i="2"/>
  <c r="O113" i="2"/>
  <c r="O114" i="2"/>
  <c r="O115" i="2"/>
  <c r="P112" i="2"/>
  <c r="P113" i="2"/>
  <c r="P114" i="2"/>
  <c r="P115" i="2"/>
  <c r="O110" i="2"/>
  <c r="O111" i="2"/>
  <c r="P110" i="2"/>
  <c r="P111" i="2"/>
  <c r="O109" i="2"/>
  <c r="P109" i="2"/>
  <c r="O108" i="2"/>
  <c r="P108" i="2"/>
  <c r="O107" i="2"/>
  <c r="P107" i="2"/>
  <c r="O103" i="2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<sst xmlns="http://schemas.openxmlformats.org/spreadsheetml/2006/main" count="1432" uniqueCount="214">
  <si>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</si>
  <si>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</si>
  <si>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</si>
  <si>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</si>
  <si>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</si>
  <si>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</si>
  <si>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</si>
  <si>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</si>
  <si>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</si>
  <si>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</si>
  <si>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</si>
  <si>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</si>
  <si>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</si>
  <si>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</si>
  <si>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</si>
  <si>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</si>
  <si>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</si>
  <si>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</si>
  <si>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</si>
  <si>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</si>
  <si>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</si>
  <si>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</si>
  <si>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</si>
  <si>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</si>
  <si>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</si>
  <si>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</si>
  <si>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</si>
  <si>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</si>
  <si>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</si>
  <si>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</si>
  <si>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</si>
  <si>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</si>
  <si>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</si>
  <si>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</si>
  <si>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</si>
  <si>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</si>
  <si>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</si>
  <si>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</si>
  <si>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</si>
  <si>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</si>
  <si>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</si>
  <si>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</si>
  <si>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</si>
  <si>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</si>
  <si>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</si>
  <si>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</si>
  <si>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</si>
  <si>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</si>
  <si>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</si>
  <si>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</si>
  <si>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</si>
  <si>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</si>
  <si>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</si>
  <si>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</si>
  <si>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</si>
  <si>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</si>
  <si>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</si>
  <si>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</si>
  <si>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</si>
  <si>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</si>
  <si>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</si>
  <si>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</si>
  <si>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</si>
  <si>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</si>
  <si>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</si>
  <si>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</si>
  <si>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</si>
  <si>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</si>
  <si>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</si>
  <si>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</si>
  <si>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</si>
  <si>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</si>
  <si>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</si>
  <si>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</si>
  <si>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</si>
  <si>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</si>
  <si>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</si>
  <si>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</si>
  <si>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</si>
  <si>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</si>
  <si>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</si>
  <si>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</si>
  <si>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</si>
  <si>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</si>
  <si>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</si>
  <si>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</si>
  <si>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</si>
  <si>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</si>
  <si>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</si>
  <si>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</si>
  <si>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</si>
  <si>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</si>
  <si>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</si>
  <si>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</si>
  <si>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</si>
  <si>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</si>
  <si>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</si>
  <si>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</si>
  <si>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</si>
  <si>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</si>
  <si>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</si>
  <si>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</si>
  <si>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</si>
  <si>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</si>
  <si>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</si>
  <si>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</si>
  <si>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</si>
  <si>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</si>
  <si>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</si>
  <si>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</si>
  <si>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</si>
  <si>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</si>
  <si>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</si>
  <si>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</si>
  <si>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</si>
  <si>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</si>
  <si>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</si>
  <si>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</si>
  <si>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</si>
  <si>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</si>
  <si>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</si>
  <si>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</si>
  <si>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</si>
  <si>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</si>
  <si>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</si>
  <si>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</si>
  <si>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</si>
  <si>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</si>
  <si>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</si>
  <si>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</si>
  <si>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</si>
  <si>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</si>
  <si>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</si>
  <si>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</si>
  <si>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</si>
  <si>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</si>
  <si>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</si>
  <si>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</si>
  <si>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</si>
  <si>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</si>
  <si>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</si>
  <si>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</si>
  <si>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</si>
  <si>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</si>
  <si>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</si>
  <si>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</si>
  <si>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</si>
  <si>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</si>
  <si>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</si>
  <si>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</si>
  <si>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</si>
  <si>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</si>
  <si>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</si>
  <si>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</si>
  <si>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</si>
  <si>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</si>
  <si>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</si>
  <si>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</si>
  <si>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</si>
  <si>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</si>
  <si>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</si>
  <si>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</si>
  <si>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</si>
  <si>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</si>
  <si>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</si>
  <si>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</si>
  <si>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</si>
  <si>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</si>
  <si>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</si>
  <si>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</si>
  <si>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</si>
  <si>
    <t>Modou</t>
  </si>
  <si>
    <t xml:space="preserve">Seydina </t>
  </si>
  <si>
    <t>S.K.L</t>
  </si>
  <si>
    <t>Khalifa</t>
  </si>
  <si>
    <t>KamLac Lait concentré sucré 24x1kg</t>
  </si>
  <si>
    <t>Wane</t>
  </si>
  <si>
    <t>Café Altimo pot 200g x 12 pcs</t>
  </si>
  <si>
    <t>Djily</t>
  </si>
  <si>
    <t>Keur Massar Ainoumady</t>
  </si>
  <si>
    <t>Abdourahmane</t>
  </si>
  <si>
    <t xml:space="preserve">RAS </t>
  </si>
  <si>
    <t>Keur Mbaye Fall</t>
  </si>
  <si>
    <t>Tidiane Diallo</t>
  </si>
  <si>
    <t>A commandé café refresh stick et laltimo 100g</t>
  </si>
  <si>
    <t>Moustapha Mbaye</t>
  </si>
  <si>
    <t>Ibrahima Diallo</t>
  </si>
  <si>
    <t>Sodidala sarl</t>
  </si>
  <si>
    <t>Khadime SYLLA</t>
  </si>
  <si>
    <t>Fallou</t>
  </si>
  <si>
    <t>Mamour DIOP</t>
  </si>
  <si>
    <t>Sow</t>
  </si>
  <si>
    <t>Ousmane Dramé</t>
  </si>
  <si>
    <t>Keur Massar Gouygui</t>
  </si>
  <si>
    <t>CPm</t>
  </si>
  <si>
    <t>Supermarché</t>
  </si>
  <si>
    <t>Elhadj</t>
  </si>
  <si>
    <t>Dalifort</t>
  </si>
  <si>
    <t>Chérif DIALLO</t>
  </si>
  <si>
    <t>Grand Boutique</t>
  </si>
  <si>
    <t>Siradio  Barry</t>
  </si>
  <si>
    <t>MOUSTAPHA BAKHDAD</t>
  </si>
  <si>
    <t>AISSATOU SALL</t>
  </si>
  <si>
    <t>Moustapha Baldé</t>
  </si>
  <si>
    <t>Ibrahima Tahirou</t>
  </si>
  <si>
    <t xml:space="preserve">A commandé café refresh stick sa marche chez lui </t>
  </si>
  <si>
    <t>Ndioguou</t>
  </si>
  <si>
    <t xml:space="preserve">Je viens de livrer </t>
  </si>
  <si>
    <t>Il demande de diminuer le prix du café stick car la concurrence est moins cher</t>
  </si>
  <si>
    <t xml:space="preserve">Client partenaire </t>
  </si>
  <si>
    <t>Ndiaye</t>
  </si>
  <si>
    <t>Je viens de livrer</t>
  </si>
  <si>
    <t>Lye</t>
  </si>
  <si>
    <t>Il vient de commend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</si>
</sst>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61" totalsRowShown="0" headerRowDxfId="18" headerRowBorderDxfId="17" tableBorderDxfId="16">
  <autoFilter ref="A1:P16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61"/>
  <sheetViews>
    <sheetView tabSelected="1" topLeftCell="A151" zoomScale="79" zoomScaleNormal="79" workbookViewId="0">
      <selection activeCell="A161" sqref="A161:N16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8">
        <v>46230</v>
      </c>
      <c r="B97" s="9" t="s">
        <v>33</v>
      </c>
      <c r="C97" s="9" t="s">
        <v>29</v>
      </c>
      <c r="D97" s="9" t="s">
        <v>29</v>
      </c>
      <c r="E97" s="9" t="s">
        <v>166</v>
      </c>
      <c r="F97" s="10">
        <v>770712599</v>
      </c>
      <c r="G97" s="9" t="s">
        <v>15</v>
      </c>
      <c r="H97" s="9" t="s">
        <v>13</v>
      </c>
      <c r="I97" s="9" t="s">
        <v>16</v>
      </c>
      <c r="J97" s="9" t="s">
        <v>167</v>
      </c>
      <c r="K97" s="9" t="s">
        <v>26</v>
      </c>
      <c r="L97" s="9">
        <v>100</v>
      </c>
      <c r="M97" s="11">
        <v>26000</v>
      </c>
      <c r="N97" s="11">
        <v>2600000</v>
      </c>
      <c r="O97" s="7" t="str">
        <f>"S"&amp;_xlfn.ISOWEEKNUM(Semaine_1[[#This Row],[Date]])</f>
        <v>S31</v>
      </c>
      <c r="P97" t="str">
        <f>TEXT(Semaine_1[[#This Row],[Date]],"MMMM")</f>
        <v>juillet</v>
      </c>
    </row>
    <row r="98" spans="1:16" ht="28.15" x14ac:dyDescent="0.45">
      <c r="A98" s="8">
        <v>46231</v>
      </c>
      <c r="B98" s="9" t="s">
        <v>45</v>
      </c>
      <c r="C98" s="9" t="s">
        <v>39</v>
      </c>
      <c r="D98" s="9" t="s">
        <v>46</v>
      </c>
      <c r="E98" s="9" t="s">
        <v>168</v>
      </c>
      <c r="F98" s="10">
        <v>705125807</v>
      </c>
      <c r="G98" s="9" t="s">
        <v>15</v>
      </c>
      <c r="H98" s="9" t="s">
        <v>13</v>
      </c>
      <c r="I98" s="9" t="s">
        <v>16</v>
      </c>
      <c r="J98" s="9" t="s">
        <v>154</v>
      </c>
      <c r="K98" s="9" t="s">
        <v>36</v>
      </c>
      <c r="L98" s="9">
        <v>1</v>
      </c>
      <c r="M98" s="11">
        <v>19500</v>
      </c>
      <c r="N98" s="11">
        <v>19500</v>
      </c>
      <c r="O98" s="7" t="str">
        <f>"S"&amp;_xlfn.ISOWEEKNUM(Semaine_1[[#This Row],[Date]])</f>
        <v>S31</v>
      </c>
      <c r="P98" t="str">
        <f>TEXT(Semaine_1[[#This Row],[Date]],"MMMM")</f>
        <v>juillet</v>
      </c>
    </row>
    <row r="99" spans="1:16" ht="28.15" x14ac:dyDescent="0.45">
      <c r="A99" s="8">
        <v>46231</v>
      </c>
      <c r="B99" s="9" t="s">
        <v>45</v>
      </c>
      <c r="C99" s="9" t="s">
        <v>39</v>
      </c>
      <c r="D99" s="9" t="s">
        <v>46</v>
      </c>
      <c r="E99" s="9" t="s">
        <v>168</v>
      </c>
      <c r="F99" s="10">
        <v>705125807</v>
      </c>
      <c r="G99" s="9" t="s">
        <v>15</v>
      </c>
      <c r="H99" s="9" t="s">
        <v>13</v>
      </c>
      <c r="I99" s="9" t="s">
        <v>16</v>
      </c>
      <c r="J99" s="9" t="s">
        <v>154</v>
      </c>
      <c r="K99" s="9" t="s">
        <v>165</v>
      </c>
      <c r="L99" s="9">
        <v>1</v>
      </c>
      <c r="M99" s="11">
        <v>11250</v>
      </c>
      <c r="N99" s="11">
        <v>11250</v>
      </c>
      <c r="O99" s="7" t="str">
        <f>"S"&amp;_xlfn.ISOWEEKNUM(Semaine_1[[#This Row],[Date]])</f>
        <v>S31</v>
      </c>
      <c r="P99" t="str">
        <f>TEXT(Semaine_1[[#This Row],[Date]],"MMMM")</f>
        <v>juillet</v>
      </c>
    </row>
    <row r="100" spans="1:16" ht="28.15" x14ac:dyDescent="0.45">
      <c r="A100" s="8">
        <v>46231</v>
      </c>
      <c r="B100" s="9" t="s">
        <v>45</v>
      </c>
      <c r="C100" s="9" t="s">
        <v>39</v>
      </c>
      <c r="D100" s="9" t="s">
        <v>46</v>
      </c>
      <c r="E100" s="9" t="s">
        <v>168</v>
      </c>
      <c r="F100" s="10">
        <v>705125807</v>
      </c>
      <c r="G100" s="9" t="s">
        <v>15</v>
      </c>
      <c r="H100" s="9" t="s">
        <v>13</v>
      </c>
      <c r="I100" s="9" t="s">
        <v>16</v>
      </c>
      <c r="J100" s="9" t="s">
        <v>154</v>
      </c>
      <c r="K100" s="9" t="s">
        <v>135</v>
      </c>
      <c r="L100" s="9">
        <v>1</v>
      </c>
      <c r="M100" s="11">
        <v>15500</v>
      </c>
      <c r="N100" s="11">
        <v>15500</v>
      </c>
      <c r="O100" s="7" t="str">
        <f>"S"&amp;_xlfn.ISOWEEKNUM(Semaine_1[[#This Row],[Date]])</f>
        <v>S31</v>
      </c>
      <c r="P100" t="str">
        <f>TEXT(Semaine_1[[#This Row],[Date]],"MMMM")</f>
        <v>juillet</v>
      </c>
    </row>
    <row r="101" spans="1:16" ht="28.15" x14ac:dyDescent="0.45">
      <c r="A101" s="8">
        <v>46231</v>
      </c>
      <c r="B101" s="9" t="s">
        <v>45</v>
      </c>
      <c r="C101" s="9" t="s">
        <v>39</v>
      </c>
      <c r="D101" s="9" t="s">
        <v>46</v>
      </c>
      <c r="E101" s="9" t="s">
        <v>168</v>
      </c>
      <c r="F101" s="10">
        <v>705125807</v>
      </c>
      <c r="G101" s="9" t="s">
        <v>15</v>
      </c>
      <c r="H101" s="9" t="s">
        <v>13</v>
      </c>
      <c r="I101" s="9" t="s">
        <v>16</v>
      </c>
      <c r="J101" s="9" t="s">
        <v>154</v>
      </c>
      <c r="K101" s="9" t="s">
        <v>38</v>
      </c>
      <c r="L101" s="9">
        <v>10</v>
      </c>
      <c r="M101" s="11">
        <v>9000</v>
      </c>
      <c r="N101" s="11">
        <v>90000</v>
      </c>
      <c r="O101" s="7" t="str">
        <f>"S"&amp;_xlfn.ISOWEEKNUM(Semaine_1[[#This Row],[Date]])</f>
        <v>S31</v>
      </c>
      <c r="P101" t="str">
        <f>TEXT(Semaine_1[[#This Row],[Date]],"MMMM")</f>
        <v>juillet</v>
      </c>
    </row>
    <row r="102" spans="1:16" ht="28.15" x14ac:dyDescent="0.45">
      <c r="A102" s="8">
        <v>46231</v>
      </c>
      <c r="B102" s="9" t="s">
        <v>45</v>
      </c>
      <c r="C102" s="9" t="s">
        <v>39</v>
      </c>
      <c r="D102" s="9" t="s">
        <v>46</v>
      </c>
      <c r="E102" s="9" t="s">
        <v>168</v>
      </c>
      <c r="F102" s="10">
        <v>705125807</v>
      </c>
      <c r="G102" s="9" t="s">
        <v>15</v>
      </c>
      <c r="H102" s="9" t="s">
        <v>13</v>
      </c>
      <c r="I102" s="9" t="s">
        <v>16</v>
      </c>
      <c r="J102" s="9" t="s">
        <v>154</v>
      </c>
      <c r="K102" s="9" t="s">
        <v>56</v>
      </c>
      <c r="L102" s="9">
        <v>22</v>
      </c>
      <c r="M102" s="11">
        <v>9000</v>
      </c>
      <c r="N102" s="11">
        <v>198000</v>
      </c>
      <c r="O102" s="7" t="str">
        <f>"S"&amp;_xlfn.ISOWEEKNUM(Semaine_1[[#This Row],[Date]])</f>
        <v>S31</v>
      </c>
      <c r="P102" t="str">
        <f>TEXT(Semaine_1[[#This Row],[Date]],"MMMM")</f>
        <v>juillet</v>
      </c>
    </row>
    <row r="103" spans="1:16" ht="28.15" x14ac:dyDescent="0.45">
      <c r="A103" s="8">
        <v>46231</v>
      </c>
      <c r="B103" s="9" t="s">
        <v>43</v>
      </c>
      <c r="C103" s="9" t="s">
        <v>27</v>
      </c>
      <c r="D103" s="9" t="s">
        <v>28</v>
      </c>
      <c r="E103" s="9" t="s">
        <v>118</v>
      </c>
      <c r="F103" s="10">
        <v>774245132</v>
      </c>
      <c r="G103" s="9" t="s">
        <v>15</v>
      </c>
      <c r="H103" s="9" t="s">
        <v>13</v>
      </c>
      <c r="I103" s="9" t="s">
        <v>16</v>
      </c>
      <c r="J103" s="9"/>
      <c r="K103" s="9" t="s">
        <v>169</v>
      </c>
      <c r="L103" s="9">
        <v>16</v>
      </c>
      <c r="M103" s="11">
        <v>54000</v>
      </c>
      <c r="N103" s="11">
        <v>864000</v>
      </c>
      <c r="O103" s="7" t="str">
        <f>"S"&amp;_xlfn.ISOWEEKNUM(Semaine_1[[#This Row],[Date]])</f>
        <v>S31</v>
      </c>
      <c r="P103" t="str">
        <f>TEXT(Semaine_1[[#This Row],[Date]],"MMMM")</f>
        <v>juillet</v>
      </c>
    </row>
    <row r="104" spans="1:16" ht="28.15" x14ac:dyDescent="0.45">
      <c r="A104" s="8">
        <v>46230</v>
      </c>
      <c r="B104" s="9" t="s">
        <v>40</v>
      </c>
      <c r="C104" s="9" t="s">
        <v>14</v>
      </c>
      <c r="D104" s="9" t="s">
        <v>142</v>
      </c>
      <c r="E104" s="9" t="s">
        <v>143</v>
      </c>
      <c r="F104" s="10">
        <v>777484616</v>
      </c>
      <c r="G104" s="9" t="s">
        <v>23</v>
      </c>
      <c r="H104" s="9" t="s">
        <v>144</v>
      </c>
      <c r="I104" s="9" t="s">
        <v>16</v>
      </c>
      <c r="J104" s="9" t="s">
        <v>73</v>
      </c>
      <c r="K104" s="9" t="s">
        <v>26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S31</v>
      </c>
      <c r="P104" t="str">
        <f>TEXT(Semaine_1[[#This Row],[Date]],"MMMM")</f>
        <v>juillet</v>
      </c>
    </row>
    <row r="105" spans="1:16" ht="28.15" x14ac:dyDescent="0.45">
      <c r="A105" s="8">
        <v>46230</v>
      </c>
      <c r="B105" s="9" t="s">
        <v>42</v>
      </c>
      <c r="C105" s="9" t="s">
        <v>22</v>
      </c>
      <c r="D105" s="9" t="s">
        <v>30</v>
      </c>
      <c r="E105" s="9" t="s">
        <v>170</v>
      </c>
      <c r="F105" s="10">
        <v>775740574</v>
      </c>
      <c r="G105" s="9" t="s">
        <v>15</v>
      </c>
      <c r="H105" s="9" t="s">
        <v>13</v>
      </c>
      <c r="I105" s="9" t="s">
        <v>16</v>
      </c>
      <c r="J105" s="9" t="s">
        <v>73</v>
      </c>
      <c r="K105" s="9" t="s">
        <v>64</v>
      </c>
      <c r="L105" s="9">
        <v>25</v>
      </c>
      <c r="M105" s="11">
        <v>28000</v>
      </c>
      <c r="N105" s="11">
        <v>700000</v>
      </c>
      <c r="O105" s="7" t="str">
        <f>"S"&amp;_xlfn.ISOWEEKNUM(Semaine_1[[#This Row],[Date]])</f>
        <v>S31</v>
      </c>
      <c r="P105" t="str">
        <f>TEXT(Semaine_1[[#This Row],[Date]],"MMMM")</f>
        <v>juillet</v>
      </c>
    </row>
    <row r="106" spans="1:16" ht="28.15" x14ac:dyDescent="0.45">
      <c r="A106" s="8">
        <v>46230</v>
      </c>
      <c r="B106" s="9" t="s">
        <v>40</v>
      </c>
      <c r="C106" s="9" t="s">
        <v>14</v>
      </c>
      <c r="D106" s="9" t="s">
        <v>142</v>
      </c>
      <c r="E106" s="9" t="s">
        <v>143</v>
      </c>
      <c r="F106" s="10">
        <v>777484616</v>
      </c>
      <c r="G106" s="9" t="s">
        <v>23</v>
      </c>
      <c r="H106" s="9" t="s">
        <v>144</v>
      </c>
      <c r="I106" s="9" t="s">
        <v>16</v>
      </c>
      <c r="J106" s="9" t="s">
        <v>73</v>
      </c>
      <c r="K106" s="9" t="s">
        <v>97</v>
      </c>
      <c r="L106" s="9">
        <v>1</v>
      </c>
      <c r="M106" s="11">
        <v>11500</v>
      </c>
      <c r="N106" s="11">
        <v>11500</v>
      </c>
      <c r="O106" s="7" t="str">
        <f>"S"&amp;_xlfn.ISOWEEKNUM(Semaine_1[[#This Row],[Date]])</f>
        <v>S31</v>
      </c>
      <c r="P106" t="str">
        <f>TEXT(Semaine_1[[#This Row],[Date]],"MMMM")</f>
        <v>juillet</v>
      </c>
    </row>
    <row r="107" spans="1:16" ht="28.15" x14ac:dyDescent="0.45">
      <c r="A107" s="8">
        <v>46247</v>
      </c>
      <c r="B107" s="9" t="s">
        <v>34</v>
      </c>
      <c r="C107" s="9" t="s">
        <v>21</v>
      </c>
      <c r="D107" s="9" t="s">
        <v>155</v>
      </c>
      <c r="E107" s="9" t="s">
        <v>171</v>
      </c>
      <c r="F107" s="10">
        <v>774333344</v>
      </c>
      <c r="G107" s="9" t="s">
        <v>15</v>
      </c>
      <c r="H107" s="9" t="s">
        <v>13</v>
      </c>
      <c r="I107" s="9" t="s">
        <v>16</v>
      </c>
      <c r="J107" s="9" t="s">
        <v>73</v>
      </c>
      <c r="K107" s="9" t="s">
        <v>26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S33</v>
      </c>
      <c r="P107" t="str">
        <f>TEXT(Semaine_1[[#This Row],[Date]],"MMMM")</f>
        <v>août</v>
      </c>
    </row>
    <row r="108" spans="1:16" ht="28.15" x14ac:dyDescent="0.45">
      <c r="A108" s="8">
        <v>46247</v>
      </c>
      <c r="B108" s="9" t="s">
        <v>42</v>
      </c>
      <c r="C108" s="9" t="s">
        <v>22</v>
      </c>
      <c r="D108" s="9" t="s">
        <v>30</v>
      </c>
      <c r="E108" s="9" t="s">
        <v>86</v>
      </c>
      <c r="F108" s="10">
        <v>778657940</v>
      </c>
      <c r="G108" s="9" t="s">
        <v>15</v>
      </c>
      <c r="H108" s="9" t="s">
        <v>13</v>
      </c>
      <c r="I108" s="9" t="s">
        <v>16</v>
      </c>
      <c r="J108" s="9" t="s">
        <v>73</v>
      </c>
      <c r="K108" s="9" t="s">
        <v>56</v>
      </c>
      <c r="L108" s="9">
        <v>50</v>
      </c>
      <c r="M108" s="11">
        <v>9000</v>
      </c>
      <c r="N108" s="11">
        <v>450000</v>
      </c>
      <c r="O108" s="7" t="str">
        <f>"S"&amp;_xlfn.ISOWEEKNUM(Semaine_1[[#This Row],[Date]])</f>
        <v>S33</v>
      </c>
      <c r="P108" t="str">
        <f>TEXT(Semaine_1[[#This Row],[Date]],"MMMM")</f>
        <v>août</v>
      </c>
    </row>
    <row r="109" spans="1:16" ht="28.15" x14ac:dyDescent="0.45">
      <c r="A109" s="8">
        <v>46247</v>
      </c>
      <c r="B109" s="9" t="s">
        <v>42</v>
      </c>
      <c r="C109" s="9" t="s">
        <v>22</v>
      </c>
      <c r="D109" s="9" t="s">
        <v>66</v>
      </c>
      <c r="E109" s="9" t="s">
        <v>172</v>
      </c>
      <c r="F109" s="10">
        <v>774346365</v>
      </c>
      <c r="G109" s="9" t="s">
        <v>23</v>
      </c>
      <c r="H109" s="9" t="s">
        <v>144</v>
      </c>
      <c r="I109" s="9" t="s">
        <v>16</v>
      </c>
      <c r="J109" s="9" t="s">
        <v>73</v>
      </c>
      <c r="K109" s="9" t="s">
        <v>56</v>
      </c>
      <c r="L109" s="9">
        <v>30</v>
      </c>
      <c r="M109" s="11">
        <v>9000</v>
      </c>
      <c r="N109" s="11">
        <v>270000</v>
      </c>
      <c r="O109" s="7" t="str">
        <f>"S"&amp;_xlfn.ISOWEEKNUM(Semaine_1[[#This Row],[Date]])</f>
        <v>S33</v>
      </c>
      <c r="P109" t="str">
        <f>TEXT(Semaine_1[[#This Row],[Date]],"MMMM")</f>
        <v>août</v>
      </c>
    </row>
    <row r="110" spans="1:16" ht="28.15" x14ac:dyDescent="0.45">
      <c r="A110" s="8">
        <v>46247</v>
      </c>
      <c r="B110" s="9" t="s">
        <v>40</v>
      </c>
      <c r="C110" s="9" t="s">
        <v>14</v>
      </c>
      <c r="D110" s="9" t="s">
        <v>71</v>
      </c>
      <c r="E110" s="9" t="s">
        <v>173</v>
      </c>
      <c r="F110" s="10">
        <v>778195274</v>
      </c>
      <c r="G110" s="9" t="s">
        <v>15</v>
      </c>
      <c r="H110" s="9" t="s">
        <v>13</v>
      </c>
      <c r="I110" s="9" t="s">
        <v>16</v>
      </c>
      <c r="J110" s="9" t="s">
        <v>73</v>
      </c>
      <c r="K110" s="9" t="s">
        <v>26</v>
      </c>
      <c r="L110" s="9">
        <v>50</v>
      </c>
      <c r="M110" s="11">
        <v>26000</v>
      </c>
      <c r="N110" s="11">
        <v>1300000</v>
      </c>
      <c r="O110" s="7" t="str">
        <f>"S"&amp;_xlfn.ISOWEEKNUM(Semaine_1[[#This Row],[Date]])</f>
        <v>S33</v>
      </c>
      <c r="P110" t="str">
        <f>TEXT(Semaine_1[[#This Row],[Date]],"MMMM")</f>
        <v>août</v>
      </c>
    </row>
    <row r="111" spans="1:16" ht="28.15" x14ac:dyDescent="0.45">
      <c r="A111" s="8">
        <v>46247</v>
      </c>
      <c r="B111" s="9" t="s">
        <v>40</v>
      </c>
      <c r="C111" s="9" t="s">
        <v>14</v>
      </c>
      <c r="D111" s="9" t="s">
        <v>70</v>
      </c>
      <c r="E111" s="9" t="s">
        <v>174</v>
      </c>
      <c r="F111" s="10">
        <v>776414102</v>
      </c>
      <c r="G111" s="9" t="s">
        <v>15</v>
      </c>
      <c r="H111" s="9" t="s">
        <v>13</v>
      </c>
      <c r="I111" s="9" t="s">
        <v>16</v>
      </c>
      <c r="J111" s="9" t="s">
        <v>73</v>
      </c>
      <c r="K111" s="9" t="s">
        <v>36</v>
      </c>
      <c r="L111" s="9">
        <v>25</v>
      </c>
      <c r="M111" s="11">
        <v>19500</v>
      </c>
      <c r="N111" s="11">
        <v>487500</v>
      </c>
      <c r="O111" s="7" t="str">
        <f>"S"&amp;_xlfn.ISOWEEKNUM(Semaine_1[[#This Row],[Date]])</f>
        <v>S33</v>
      </c>
      <c r="P111" t="str">
        <f>TEXT(Semaine_1[[#This Row],[Date]],"MMMM")</f>
        <v>août</v>
      </c>
    </row>
    <row r="112" spans="1:16" x14ac:dyDescent="0.45">
      <c r="A112" s="8">
        <v>46246</v>
      </c>
      <c r="B112" s="9" t="s">
        <v>33</v>
      </c>
      <c r="C112" s="9" t="s">
        <v>29</v>
      </c>
      <c r="D112" s="9" t="s">
        <v>29</v>
      </c>
      <c r="E112" s="9" t="s">
        <v>37</v>
      </c>
      <c r="F112" s="10">
        <v>773122246</v>
      </c>
      <c r="G112" s="9" t="s">
        <v>15</v>
      </c>
      <c r="H112" s="9" t="s">
        <v>13</v>
      </c>
      <c r="I112" s="9" t="s">
        <v>16</v>
      </c>
      <c r="J112" s="9" t="s">
        <v>73</v>
      </c>
      <c r="K112" s="9" t="s">
        <v>38</v>
      </c>
      <c r="L112" s="9">
        <v>25</v>
      </c>
      <c r="M112" s="11">
        <v>9000</v>
      </c>
      <c r="N112" s="11">
        <v>225000</v>
      </c>
      <c r="O112" s="7" t="str">
        <f>"S"&amp;_xlfn.ISOWEEKNUM(Semaine_1[[#This Row],[Date]])</f>
        <v>S33</v>
      </c>
      <c r="P112" t="str">
        <f>TEXT(Semaine_1[[#This Row],[Date]],"MMMM")</f>
        <v>août</v>
      </c>
    </row>
    <row r="113" spans="1:16" ht="28.15" x14ac:dyDescent="0.45">
      <c r="A113" s="8">
        <v>46246</v>
      </c>
      <c r="B113" s="9" t="s">
        <v>33</v>
      </c>
      <c r="C113" s="9" t="s">
        <v>29</v>
      </c>
      <c r="D113" s="9" t="s">
        <v>29</v>
      </c>
      <c r="E113" s="9" t="s">
        <v>37</v>
      </c>
      <c r="F113" s="10">
        <v>773122246</v>
      </c>
      <c r="G113" s="9" t="s">
        <v>15</v>
      </c>
      <c r="H113" s="9" t="s">
        <v>13</v>
      </c>
      <c r="I113" s="9" t="s">
        <v>16</v>
      </c>
      <c r="J113" s="9" t="s">
        <v>73</v>
      </c>
      <c r="K113" s="9" t="s">
        <v>175</v>
      </c>
      <c r="L113" s="9">
        <v>3</v>
      </c>
      <c r="M113" s="11">
        <v>26500</v>
      </c>
      <c r="N113" s="11">
        <v>79500</v>
      </c>
      <c r="O113" s="7" t="str">
        <f>"S"&amp;_xlfn.ISOWEEKNUM(Semaine_1[[#This Row],[Date]])</f>
        <v>S33</v>
      </c>
      <c r="P113" t="str">
        <f>TEXT(Semaine_1[[#This Row],[Date]],"MMMM")</f>
        <v>août</v>
      </c>
    </row>
    <row r="114" spans="1:16" x14ac:dyDescent="0.45">
      <c r="A114" s="8">
        <v>46246</v>
      </c>
      <c r="B114" s="9" t="s">
        <v>33</v>
      </c>
      <c r="C114" s="9" t="s">
        <v>29</v>
      </c>
      <c r="D114" s="9" t="s">
        <v>29</v>
      </c>
      <c r="E114" s="9" t="s">
        <v>37</v>
      </c>
      <c r="F114" s="10">
        <v>773122246</v>
      </c>
      <c r="G114" s="9" t="s">
        <v>15</v>
      </c>
      <c r="H114" s="9" t="s">
        <v>13</v>
      </c>
      <c r="I114" s="9" t="s">
        <v>16</v>
      </c>
      <c r="J114" s="9" t="s">
        <v>73</v>
      </c>
      <c r="K114" s="9" t="s">
        <v>58</v>
      </c>
      <c r="L114" s="9">
        <v>1</v>
      </c>
      <c r="M114" s="11">
        <v>15500</v>
      </c>
      <c r="N114" s="11">
        <v>15500</v>
      </c>
      <c r="O114" s="7" t="str">
        <f>"S"&amp;_xlfn.ISOWEEKNUM(Semaine_1[[#This Row],[Date]])</f>
        <v>S33</v>
      </c>
      <c r="P114" t="str">
        <f>TEXT(Semaine_1[[#This Row],[Date]],"MMMM")</f>
        <v>août</v>
      </c>
    </row>
    <row r="115" spans="1:16" x14ac:dyDescent="0.45">
      <c r="A115" s="8">
        <v>46246</v>
      </c>
      <c r="B115" s="9" t="s">
        <v>33</v>
      </c>
      <c r="C115" s="9" t="s">
        <v>29</v>
      </c>
      <c r="D115" s="9" t="s">
        <v>29</v>
      </c>
      <c r="E115" s="9" t="s">
        <v>37</v>
      </c>
      <c r="F115" s="10">
        <v>773122246</v>
      </c>
      <c r="G115" s="9" t="s">
        <v>15</v>
      </c>
      <c r="H115" s="9" t="s">
        <v>13</v>
      </c>
      <c r="I115" s="9" t="s">
        <v>16</v>
      </c>
      <c r="J115" s="9" t="s">
        <v>73</v>
      </c>
      <c r="K115" s="9" t="s">
        <v>135</v>
      </c>
      <c r="L115" s="9">
        <v>1</v>
      </c>
      <c r="M115" s="11">
        <v>15500</v>
      </c>
      <c r="N115" s="11">
        <v>15500</v>
      </c>
      <c r="O115" s="7" t="str">
        <f>"S"&amp;_xlfn.ISOWEEKNUM(Semaine_1[[#This Row],[Date]])</f>
        <v>S33</v>
      </c>
      <c r="P115" t="str">
        <f>TEXT(Semaine_1[[#This Row],[Date]],"MMMM")</f>
        <v>août</v>
      </c>
    </row>
    <row r="116" spans="1:16" ht="28.15" x14ac:dyDescent="0.45">
      <c r="A116" s="8">
        <v>46246</v>
      </c>
      <c r="B116" s="9" t="s">
        <v>40</v>
      </c>
      <c r="C116" s="9" t="s">
        <v>14</v>
      </c>
      <c r="D116" s="9" t="s">
        <v>71</v>
      </c>
      <c r="E116" s="9" t="s">
        <v>72</v>
      </c>
      <c r="F116" s="10">
        <v>770158721</v>
      </c>
      <c r="G116" s="9" t="s">
        <v>15</v>
      </c>
      <c r="H116" s="9" t="s">
        <v>13</v>
      </c>
      <c r="I116" s="9" t="s">
        <v>16</v>
      </c>
      <c r="J116" s="9" t="s">
        <v>73</v>
      </c>
      <c r="K116" s="9" t="s">
        <v>97</v>
      </c>
      <c r="L116" s="9">
        <v>25</v>
      </c>
      <c r="M116" s="11">
        <v>11500</v>
      </c>
      <c r="N116" s="11">
        <v>287500</v>
      </c>
      <c r="O116" s="7" t="str">
        <f>"S"&amp;_xlfn.ISOWEEKNUM(Semaine_1[[#This Row],[Date]])</f>
        <v>S33</v>
      </c>
      <c r="P116" t="str">
        <f>TEXT(Semaine_1[[#This Row],[Date]],"MMMM")</f>
        <v>août</v>
      </c>
    </row>
    <row r="117" spans="1:16" ht="28.15" x14ac:dyDescent="0.45">
      <c r="A117" s="8">
        <v>46246</v>
      </c>
      <c r="B117" s="9" t="s">
        <v>40</v>
      </c>
      <c r="C117" s="9" t="s">
        <v>14</v>
      </c>
      <c r="D117" s="9" t="s">
        <v>71</v>
      </c>
      <c r="E117" s="9" t="s">
        <v>72</v>
      </c>
      <c r="F117" s="10">
        <v>770158721</v>
      </c>
      <c r="G117" s="9" t="s">
        <v>15</v>
      </c>
      <c r="H117" s="9" t="s">
        <v>13</v>
      </c>
      <c r="I117" s="9" t="s">
        <v>16</v>
      </c>
      <c r="J117" s="9" t="s">
        <v>73</v>
      </c>
      <c r="K117" s="9" t="s">
        <v>135</v>
      </c>
      <c r="L117" s="9">
        <v>10</v>
      </c>
      <c r="M117" s="11">
        <v>15500</v>
      </c>
      <c r="N117" s="11">
        <v>155000</v>
      </c>
      <c r="O117" s="7" t="str">
        <f>"S"&amp;_xlfn.ISOWEEKNUM(Semaine_1[[#This Row],[Date]])</f>
        <v>S33</v>
      </c>
      <c r="P117" t="str">
        <f>TEXT(Semaine_1[[#This Row],[Date]],"MMMM")</f>
        <v>août</v>
      </c>
    </row>
    <row r="118" spans="1:16" ht="28.15" x14ac:dyDescent="0.45">
      <c r="A118" s="8">
        <v>46246</v>
      </c>
      <c r="B118" s="9" t="s">
        <v>40</v>
      </c>
      <c r="C118" s="9" t="s">
        <v>14</v>
      </c>
      <c r="D118" s="9" t="s">
        <v>70</v>
      </c>
      <c r="E118" s="9" t="s">
        <v>176</v>
      </c>
      <c r="F118" s="10">
        <v>775411988</v>
      </c>
      <c r="G118" s="9" t="s">
        <v>23</v>
      </c>
      <c r="H118" s="9" t="s">
        <v>13</v>
      </c>
      <c r="I118" s="9" t="s">
        <v>16</v>
      </c>
      <c r="J118" s="9" t="s">
        <v>73</v>
      </c>
      <c r="K118" s="9" t="s">
        <v>36</v>
      </c>
      <c r="L118" s="9">
        <v>25</v>
      </c>
      <c r="M118" s="11">
        <v>19500</v>
      </c>
      <c r="N118" s="11">
        <v>487500</v>
      </c>
      <c r="O118" s="7" t="str">
        <f>"S"&amp;_xlfn.ISOWEEKNUM(Semaine_1[[#This Row],[Date]])</f>
        <v>S33</v>
      </c>
      <c r="P118" t="str">
        <f>TEXT(Semaine_1[[#This Row],[Date]],"MMMM")</f>
        <v>août</v>
      </c>
    </row>
    <row r="119" spans="1:16" ht="28.15" x14ac:dyDescent="0.45">
      <c r="A119" s="8">
        <v>46246</v>
      </c>
      <c r="B119" s="9" t="s">
        <v>40</v>
      </c>
      <c r="C119" s="9" t="s">
        <v>14</v>
      </c>
      <c r="D119" s="9" t="s">
        <v>70</v>
      </c>
      <c r="E119" s="9" t="s">
        <v>176</v>
      </c>
      <c r="F119" s="10">
        <v>775411988</v>
      </c>
      <c r="G119" s="9" t="s">
        <v>23</v>
      </c>
      <c r="H119" s="9" t="s">
        <v>13</v>
      </c>
      <c r="I119" s="9" t="s">
        <v>16</v>
      </c>
      <c r="J119" s="9" t="s">
        <v>73</v>
      </c>
      <c r="K119" s="9" t="s">
        <v>57</v>
      </c>
      <c r="L119" s="9">
        <v>1</v>
      </c>
      <c r="M119" s="11">
        <v>4500</v>
      </c>
      <c r="N119" s="11">
        <v>4500</v>
      </c>
      <c r="O119" s="7" t="str">
        <f>"S"&amp;_xlfn.ISOWEEKNUM(Semaine_1[[#This Row],[Date]])</f>
        <v>S33</v>
      </c>
      <c r="P119" t="str">
        <f>TEXT(Semaine_1[[#This Row],[Date]],"MMMM")</f>
        <v>août</v>
      </c>
    </row>
    <row r="120" spans="1:16" ht="28.15" x14ac:dyDescent="0.45">
      <c r="A120" s="8">
        <v>46246</v>
      </c>
      <c r="B120" s="9" t="s">
        <v>40</v>
      </c>
      <c r="C120" s="9" t="s">
        <v>14</v>
      </c>
      <c r="D120" s="9" t="s">
        <v>70</v>
      </c>
      <c r="E120" s="9" t="s">
        <v>176</v>
      </c>
      <c r="F120" s="10">
        <v>775411988</v>
      </c>
      <c r="G120" s="9" t="s">
        <v>23</v>
      </c>
      <c r="H120" s="9" t="s">
        <v>13</v>
      </c>
      <c r="I120" s="9" t="s">
        <v>16</v>
      </c>
      <c r="J120" s="9" t="s">
        <v>73</v>
      </c>
      <c r="K120" s="9" t="s">
        <v>177</v>
      </c>
      <c r="L120" s="9">
        <v>1</v>
      </c>
      <c r="M120" s="11">
        <v>33500</v>
      </c>
      <c r="N120" s="11">
        <v>33500</v>
      </c>
      <c r="O120" s="7" t="str">
        <f>"S"&amp;_xlfn.ISOWEEKNUM(Semaine_1[[#This Row],[Date]])</f>
        <v>S33</v>
      </c>
      <c r="P120" t="str">
        <f>TEXT(Semaine_1[[#This Row],[Date]],"MMMM")</f>
        <v>août</v>
      </c>
    </row>
    <row r="121" spans="1:16" ht="28.15" x14ac:dyDescent="0.45">
      <c r="A121" s="8">
        <v>46246</v>
      </c>
      <c r="B121" s="9" t="s">
        <v>40</v>
      </c>
      <c r="C121" s="9" t="s">
        <v>14</v>
      </c>
      <c r="D121" s="9" t="s">
        <v>71</v>
      </c>
      <c r="E121" s="9" t="s">
        <v>72</v>
      </c>
      <c r="F121" s="10">
        <v>770158721</v>
      </c>
      <c r="G121" s="9" t="s">
        <v>15</v>
      </c>
      <c r="H121" s="9" t="s">
        <v>13</v>
      </c>
      <c r="I121" s="9" t="s">
        <v>16</v>
      </c>
      <c r="J121" s="9" t="s">
        <v>73</v>
      </c>
      <c r="K121" s="9" t="s">
        <v>58</v>
      </c>
      <c r="L121" s="9">
        <v>15</v>
      </c>
      <c r="M121" s="11">
        <v>15500</v>
      </c>
      <c r="N121" s="11">
        <v>232500</v>
      </c>
      <c r="O121" s="7" t="str">
        <f>"S"&amp;_xlfn.ISOWEEKNUM(Semaine_1[[#This Row],[Date]])</f>
        <v>S33</v>
      </c>
      <c r="P121" t="str">
        <f>TEXT(Semaine_1[[#This Row],[Date]],"MMMM")</f>
        <v>août</v>
      </c>
    </row>
    <row r="122" spans="1:16" x14ac:dyDescent="0.45">
      <c r="A122" s="8">
        <v>46244</v>
      </c>
      <c r="B122" s="9" t="s">
        <v>33</v>
      </c>
      <c r="C122" s="9" t="s">
        <v>29</v>
      </c>
      <c r="D122" s="9" t="s">
        <v>47</v>
      </c>
      <c r="E122" s="9" t="s">
        <v>178</v>
      </c>
      <c r="F122" s="10">
        <v>776677566</v>
      </c>
      <c r="G122" s="9" t="s">
        <v>15</v>
      </c>
      <c r="H122" s="9" t="s">
        <v>13</v>
      </c>
      <c r="I122" s="9" t="s">
        <v>16</v>
      </c>
      <c r="J122" s="9" t="s">
        <v>73</v>
      </c>
      <c r="K122" s="9" t="s">
        <v>26</v>
      </c>
      <c r="L122" s="9">
        <v>100</v>
      </c>
      <c r="M122" s="11">
        <v>26000</v>
      </c>
      <c r="N122" s="11">
        <v>2600000</v>
      </c>
      <c r="O122" s="7" t="str">
        <f>"S"&amp;_xlfn.ISOWEEKNUM(Semaine_1[[#This Row],[Date]])</f>
        <v>S33</v>
      </c>
      <c r="P122" t="str">
        <f>TEXT(Semaine_1[[#This Row],[Date]],"MMMM")</f>
        <v>août</v>
      </c>
    </row>
    <row r="123" spans="1:16" ht="28.15" x14ac:dyDescent="0.45">
      <c r="A123" s="8">
        <v>46244</v>
      </c>
      <c r="B123" s="9" t="s">
        <v>43</v>
      </c>
      <c r="C123" s="9" t="s">
        <v>27</v>
      </c>
      <c r="D123" s="9" t="s">
        <v>115</v>
      </c>
      <c r="E123" s="9" t="s">
        <v>117</v>
      </c>
      <c r="F123" s="10">
        <v>773531341</v>
      </c>
      <c r="G123" s="9" t="s">
        <v>15</v>
      </c>
      <c r="H123" s="9" t="s">
        <v>13</v>
      </c>
      <c r="I123" s="9" t="s">
        <v>16</v>
      </c>
      <c r="J123" s="9"/>
      <c r="K123" s="9" t="s">
        <v>26</v>
      </c>
      <c r="L123" s="9">
        <v>200</v>
      </c>
      <c r="M123" s="11">
        <v>26000</v>
      </c>
      <c r="N123" s="11">
        <v>5200000</v>
      </c>
      <c r="O123" s="7" t="str">
        <f>"S"&amp;_xlfn.ISOWEEKNUM(Semaine_1[[#This Row],[Date]])</f>
        <v>S33</v>
      </c>
      <c r="P123" t="str">
        <f>TEXT(Semaine_1[[#This Row],[Date]],"MMMM")</f>
        <v>août</v>
      </c>
    </row>
    <row r="124" spans="1:16" ht="28.15" x14ac:dyDescent="0.45">
      <c r="A124" s="8">
        <v>46247</v>
      </c>
      <c r="B124" s="9" t="s">
        <v>42</v>
      </c>
      <c r="C124" s="9" t="s">
        <v>22</v>
      </c>
      <c r="D124" s="9" t="s">
        <v>179</v>
      </c>
      <c r="E124" s="9" t="s">
        <v>180</v>
      </c>
      <c r="F124" s="10">
        <v>772252177</v>
      </c>
      <c r="G124" s="9" t="s">
        <v>23</v>
      </c>
      <c r="H124" s="9" t="s">
        <v>13</v>
      </c>
      <c r="I124" s="9" t="s">
        <v>16</v>
      </c>
      <c r="J124" s="9" t="s">
        <v>181</v>
      </c>
      <c r="K124" s="9" t="s">
        <v>26</v>
      </c>
      <c r="L124" s="9">
        <v>100</v>
      </c>
      <c r="M124" s="11">
        <v>26000</v>
      </c>
      <c r="N124" s="11">
        <v>2600000</v>
      </c>
      <c r="O124" s="7" t="str">
        <f>"S"&amp;_xlfn.ISOWEEKNUM(Semaine_1[[#This Row],[Date]])</f>
        <v>S33</v>
      </c>
      <c r="P124" t="str">
        <f>TEXT(Semaine_1[[#This Row],[Date]],"MMMM")</f>
        <v>août</v>
      </c>
    </row>
    <row r="125" spans="1:16" ht="28.15" x14ac:dyDescent="0.45">
      <c r="A125" s="8">
        <v>46246</v>
      </c>
      <c r="B125" s="9" t="s">
        <v>45</v>
      </c>
      <c r="C125" s="9" t="s">
        <v>39</v>
      </c>
      <c r="D125" s="9" t="s">
        <v>182</v>
      </c>
      <c r="E125" s="9" t="s">
        <v>183</v>
      </c>
      <c r="F125" s="10">
        <v>785852626</v>
      </c>
      <c r="G125" s="9" t="s">
        <v>15</v>
      </c>
      <c r="H125" s="9" t="s">
        <v>13</v>
      </c>
      <c r="I125" s="9" t="s">
        <v>16</v>
      </c>
      <c r="J125" s="9" t="s">
        <v>184</v>
      </c>
      <c r="K125" s="9" t="s">
        <v>26</v>
      </c>
      <c r="L125" s="9">
        <v>100</v>
      </c>
      <c r="M125" s="11">
        <v>26000</v>
      </c>
      <c r="N125" s="11">
        <v>2600000</v>
      </c>
      <c r="O125" s="7" t="str">
        <f>"S"&amp;_xlfn.ISOWEEKNUM(Semaine_1[[#This Row],[Date]])</f>
        <v>S33</v>
      </c>
      <c r="P125" t="str">
        <f>TEXT(Semaine_1[[#This Row],[Date]],"MMMM")</f>
        <v>août</v>
      </c>
    </row>
    <row r="126" spans="1:16" ht="28.15" x14ac:dyDescent="0.45">
      <c r="A126" s="8">
        <v>46246</v>
      </c>
      <c r="B126" s="9" t="s">
        <v>45</v>
      </c>
      <c r="C126" s="9" t="s">
        <v>39</v>
      </c>
      <c r="D126" s="9" t="s">
        <v>182</v>
      </c>
      <c r="E126" s="9" t="s">
        <v>183</v>
      </c>
      <c r="F126" s="10">
        <v>785852626</v>
      </c>
      <c r="G126" s="9" t="s">
        <v>15</v>
      </c>
      <c r="H126" s="9" t="s">
        <v>13</v>
      </c>
      <c r="I126" s="9" t="s">
        <v>16</v>
      </c>
      <c r="J126" s="9" t="s">
        <v>184</v>
      </c>
      <c r="K126" s="9" t="s">
        <v>75</v>
      </c>
      <c r="L126" s="9">
        <v>1</v>
      </c>
      <c r="M126" s="11">
        <v>33500</v>
      </c>
      <c r="N126" s="11">
        <v>33500</v>
      </c>
      <c r="O126" s="7" t="str">
        <f>"S"&amp;_xlfn.ISOWEEKNUM(Semaine_1[[#This Row],[Date]])</f>
        <v>S33</v>
      </c>
      <c r="P126" t="str">
        <f>TEXT(Semaine_1[[#This Row],[Date]],"MMMM")</f>
        <v>août</v>
      </c>
    </row>
    <row r="127" spans="1:16" ht="28.15" x14ac:dyDescent="0.45">
      <c r="A127" s="8">
        <v>46246</v>
      </c>
      <c r="B127" s="9" t="s">
        <v>34</v>
      </c>
      <c r="C127" s="9" t="s">
        <v>21</v>
      </c>
      <c r="D127" s="9" t="s">
        <v>155</v>
      </c>
      <c r="E127" s="9" t="s">
        <v>185</v>
      </c>
      <c r="F127" s="10">
        <v>772899294</v>
      </c>
      <c r="G127" s="9" t="s">
        <v>15</v>
      </c>
      <c r="H127" s="9" t="s">
        <v>13</v>
      </c>
      <c r="I127" s="9" t="s">
        <v>16</v>
      </c>
      <c r="J127" s="9" t="s">
        <v>73</v>
      </c>
      <c r="K127" s="9" t="s">
        <v>26</v>
      </c>
      <c r="L127" s="9">
        <v>25</v>
      </c>
      <c r="M127" s="11">
        <v>26000</v>
      </c>
      <c r="N127" s="11">
        <v>650000</v>
      </c>
      <c r="O127" s="7" t="str">
        <f>"S"&amp;_xlfn.ISOWEEKNUM(Semaine_1[[#This Row],[Date]])</f>
        <v>S33</v>
      </c>
      <c r="P127" t="str">
        <f>TEXT(Semaine_1[[#This Row],[Date]],"MMMM")</f>
        <v>août</v>
      </c>
    </row>
    <row r="128" spans="1:16" ht="28.15" x14ac:dyDescent="0.45">
      <c r="A128" s="8">
        <v>46246</v>
      </c>
      <c r="B128" s="9" t="s">
        <v>34</v>
      </c>
      <c r="C128" s="9" t="s">
        <v>21</v>
      </c>
      <c r="D128" s="9" t="s">
        <v>155</v>
      </c>
      <c r="E128" s="9" t="s">
        <v>186</v>
      </c>
      <c r="F128" s="10">
        <v>773066194</v>
      </c>
      <c r="G128" s="9" t="s">
        <v>15</v>
      </c>
      <c r="H128" s="9" t="s">
        <v>13</v>
      </c>
      <c r="I128" s="9" t="s">
        <v>16</v>
      </c>
      <c r="J128" s="9" t="s">
        <v>73</v>
      </c>
      <c r="K128" s="9" t="s">
        <v>26</v>
      </c>
      <c r="L128" s="9">
        <v>25</v>
      </c>
      <c r="M128" s="11">
        <v>26000</v>
      </c>
      <c r="N128" s="11">
        <v>650000</v>
      </c>
      <c r="O128" s="7" t="str">
        <f>"S"&amp;_xlfn.ISOWEEKNUM(Semaine_1[[#This Row],[Date]])</f>
        <v>S33</v>
      </c>
      <c r="P128" t="str">
        <f>TEXT(Semaine_1[[#This Row],[Date]],"MMMM")</f>
        <v>août</v>
      </c>
    </row>
    <row r="129" spans="1:16" ht="28.15" x14ac:dyDescent="0.45">
      <c r="A129" s="8">
        <v>46246</v>
      </c>
      <c r="B129" s="9" t="s">
        <v>34</v>
      </c>
      <c r="C129" s="9" t="s">
        <v>21</v>
      </c>
      <c r="D129" s="9" t="s">
        <v>155</v>
      </c>
      <c r="E129" s="9" t="s">
        <v>187</v>
      </c>
      <c r="F129" s="10">
        <v>771844968</v>
      </c>
      <c r="G129" s="9" t="s">
        <v>15</v>
      </c>
      <c r="H129" s="9" t="s">
        <v>13</v>
      </c>
      <c r="I129" s="9" t="s">
        <v>16</v>
      </c>
      <c r="J129" s="9" t="s">
        <v>73</v>
      </c>
      <c r="K129" s="9" t="s">
        <v>26</v>
      </c>
      <c r="L129" s="9">
        <v>50</v>
      </c>
      <c r="M129" s="11">
        <v>26000</v>
      </c>
      <c r="N129" s="11">
        <v>1300000</v>
      </c>
      <c r="O129" s="7" t="str">
        <f>"S"&amp;_xlfn.ISOWEEKNUM(Semaine_1[[#This Row],[Date]])</f>
        <v>S33</v>
      </c>
      <c r="P129" t="str">
        <f>TEXT(Semaine_1[[#This Row],[Date]],"MMMM")</f>
        <v>août</v>
      </c>
    </row>
    <row r="130" spans="1:16" ht="28.15" x14ac:dyDescent="0.45">
      <c r="A130" s="8">
        <v>46257</v>
      </c>
      <c r="B130" s="9" t="s">
        <v>34</v>
      </c>
      <c r="C130" s="9" t="s">
        <v>21</v>
      </c>
      <c r="D130" s="9" t="s">
        <v>155</v>
      </c>
      <c r="E130" s="9" t="s">
        <v>188</v>
      </c>
      <c r="F130" s="10">
        <v>776317469</v>
      </c>
      <c r="G130" s="9" t="s">
        <v>15</v>
      </c>
      <c r="H130" s="9" t="s">
        <v>13</v>
      </c>
      <c r="I130" s="9" t="s">
        <v>16</v>
      </c>
      <c r="J130" s="9" t="s">
        <v>73</v>
      </c>
      <c r="K130" s="9" t="s">
        <v>26</v>
      </c>
      <c r="L130" s="9">
        <v>25</v>
      </c>
      <c r="M130" s="11">
        <v>26000</v>
      </c>
      <c r="N130" s="11">
        <v>650000</v>
      </c>
      <c r="O130" s="7" t="str">
        <f>"S"&amp;_xlfn.ISOWEEKNUM(Semaine_1[[#This Row],[Date]])</f>
        <v>S34</v>
      </c>
      <c r="P130" t="str">
        <f>TEXT(Semaine_1[[#This Row],[Date]],"MMMM")</f>
        <v>août</v>
      </c>
    </row>
    <row r="131" spans="1:16" ht="28.15" x14ac:dyDescent="0.45">
      <c r="A131" s="8">
        <v>46257</v>
      </c>
      <c r="B131" s="9" t="s">
        <v>42</v>
      </c>
      <c r="C131" s="9" t="s">
        <v>22</v>
      </c>
      <c r="D131" s="9" t="s">
        <v>104</v>
      </c>
      <c r="E131" s="9" t="s">
        <v>105</v>
      </c>
      <c r="F131" s="10">
        <v>779598695</v>
      </c>
      <c r="G131" s="9" t="s">
        <v>23</v>
      </c>
      <c r="H131" s="9" t="s">
        <v>13</v>
      </c>
      <c r="I131" s="9" t="s">
        <v>16</v>
      </c>
      <c r="J131" s="9" t="s">
        <v>73</v>
      </c>
      <c r="K131" s="9" t="s">
        <v>26</v>
      </c>
      <c r="L131" s="9">
        <v>75</v>
      </c>
      <c r="M131" s="11">
        <v>26000</v>
      </c>
      <c r="N131" s="11">
        <v>1950000</v>
      </c>
      <c r="O131" s="7" t="str">
        <f>"S"&amp;_xlfn.ISOWEEKNUM(Semaine_1[[#This Row],[Date]])</f>
        <v>S34</v>
      </c>
      <c r="P131" t="str">
        <f>TEXT(Semaine_1[[#This Row],[Date]],"MMMM")</f>
        <v>août</v>
      </c>
    </row>
    <row r="132" spans="1:16" ht="28.15" x14ac:dyDescent="0.45">
      <c r="A132" s="8">
        <v>46257</v>
      </c>
      <c r="B132" s="9" t="s">
        <v>42</v>
      </c>
      <c r="C132" s="9" t="s">
        <v>22</v>
      </c>
      <c r="D132" s="9" t="s">
        <v>179</v>
      </c>
      <c r="E132" s="9" t="s">
        <v>189</v>
      </c>
      <c r="F132" s="10">
        <v>762969670</v>
      </c>
      <c r="G132" s="9" t="s">
        <v>23</v>
      </c>
      <c r="H132" s="9" t="s">
        <v>13</v>
      </c>
      <c r="I132" s="9" t="s">
        <v>16</v>
      </c>
      <c r="J132" s="9" t="s">
        <v>73</v>
      </c>
      <c r="K132" s="9" t="s">
        <v>26</v>
      </c>
      <c r="L132" s="9">
        <v>25</v>
      </c>
      <c r="M132" s="11">
        <v>26000</v>
      </c>
      <c r="N132" s="11">
        <v>650000</v>
      </c>
      <c r="O132" s="7" t="str">
        <f>"S"&amp;_xlfn.ISOWEEKNUM(Semaine_1[[#This Row],[Date]])</f>
        <v>S34</v>
      </c>
      <c r="P132" t="str">
        <f>TEXT(Semaine_1[[#This Row],[Date]],"MMMM")</f>
        <v>août</v>
      </c>
    </row>
    <row r="133" spans="1:16" ht="28.15" x14ac:dyDescent="0.45">
      <c r="A133" s="8">
        <v>46257</v>
      </c>
      <c r="B133" s="9" t="s">
        <v>42</v>
      </c>
      <c r="C133" s="9" t="s">
        <v>22</v>
      </c>
      <c r="D133" s="9" t="s">
        <v>179</v>
      </c>
      <c r="E133" s="9" t="s">
        <v>190</v>
      </c>
      <c r="F133" s="10">
        <v>765652728</v>
      </c>
      <c r="G133" s="9" t="s">
        <v>15</v>
      </c>
      <c r="H133" s="9" t="s">
        <v>13</v>
      </c>
      <c r="I133" s="9" t="s">
        <v>16</v>
      </c>
      <c r="J133" s="9" t="s">
        <v>73</v>
      </c>
      <c r="K133" s="9" t="s">
        <v>26</v>
      </c>
      <c r="L133" s="9">
        <v>25</v>
      </c>
      <c r="M133" s="11">
        <v>26000</v>
      </c>
      <c r="N133" s="11">
        <v>650000</v>
      </c>
      <c r="O133" s="7" t="str">
        <f>"S"&amp;_xlfn.ISOWEEKNUM(Semaine_1[[#This Row],[Date]])</f>
        <v>S34</v>
      </c>
      <c r="P133" t="str">
        <f>TEXT(Semaine_1[[#This Row],[Date]],"MMMM")</f>
        <v>août</v>
      </c>
    </row>
    <row r="134" spans="1:16" ht="28.15" x14ac:dyDescent="0.45">
      <c r="A134" s="8">
        <v>46257</v>
      </c>
      <c r="B134" s="9" t="s">
        <v>42</v>
      </c>
      <c r="C134" s="9" t="s">
        <v>22</v>
      </c>
      <c r="D134" s="9" t="s">
        <v>104</v>
      </c>
      <c r="E134" s="9" t="s">
        <v>191</v>
      </c>
      <c r="F134" s="10">
        <v>778134091</v>
      </c>
      <c r="G134" s="9" t="s">
        <v>15</v>
      </c>
      <c r="H134" s="9" t="s">
        <v>13</v>
      </c>
      <c r="I134" s="9" t="s">
        <v>16</v>
      </c>
      <c r="J134" s="9" t="s">
        <v>73</v>
      </c>
      <c r="K134" s="9" t="s">
        <v>56</v>
      </c>
      <c r="L134" s="9">
        <v>10</v>
      </c>
      <c r="M134" s="11">
        <v>9000</v>
      </c>
      <c r="N134" s="11">
        <v>90000</v>
      </c>
      <c r="O134" s="7" t="str">
        <f>"S"&amp;_xlfn.ISOWEEKNUM(Semaine_1[[#This Row],[Date]])</f>
        <v>S34</v>
      </c>
      <c r="P134" t="str">
        <f>TEXT(Semaine_1[[#This Row],[Date]],"MMMM")</f>
        <v>août</v>
      </c>
    </row>
    <row r="135" spans="1:16" ht="28.15" x14ac:dyDescent="0.45">
      <c r="A135" s="8">
        <v>46257</v>
      </c>
      <c r="B135" s="9" t="s">
        <v>42</v>
      </c>
      <c r="C135" s="9" t="s">
        <v>22</v>
      </c>
      <c r="D135" s="9" t="s">
        <v>66</v>
      </c>
      <c r="E135" s="9" t="s">
        <v>192</v>
      </c>
      <c r="F135" s="10">
        <v>779414699</v>
      </c>
      <c r="G135" s="9" t="s">
        <v>23</v>
      </c>
      <c r="H135" s="9" t="s">
        <v>13</v>
      </c>
      <c r="I135" s="9" t="s">
        <v>16</v>
      </c>
      <c r="J135" s="9" t="s">
        <v>73</v>
      </c>
      <c r="K135" s="9" t="s">
        <v>56</v>
      </c>
      <c r="L135" s="9">
        <v>20</v>
      </c>
      <c r="M135" s="11">
        <v>9000</v>
      </c>
      <c r="N135" s="11">
        <v>180000</v>
      </c>
      <c r="O135" s="7" t="str">
        <f>"S"&amp;_xlfn.ISOWEEKNUM(Semaine_1[[#This Row],[Date]])</f>
        <v>S34</v>
      </c>
      <c r="P135" t="str">
        <f>TEXT(Semaine_1[[#This Row],[Date]],"MMMM")</f>
        <v>août</v>
      </c>
    </row>
    <row r="136" spans="1:16" ht="28.15" x14ac:dyDescent="0.45">
      <c r="A136" s="8">
        <v>46257</v>
      </c>
      <c r="B136" s="9" t="s">
        <v>42</v>
      </c>
      <c r="C136" s="9" t="s">
        <v>22</v>
      </c>
      <c r="D136" s="9" t="s">
        <v>193</v>
      </c>
      <c r="E136" s="9" t="s">
        <v>147</v>
      </c>
      <c r="F136" s="10">
        <v>777222802</v>
      </c>
      <c r="G136" s="9" t="s">
        <v>15</v>
      </c>
      <c r="H136" s="9" t="s">
        <v>13</v>
      </c>
      <c r="I136" s="9" t="s">
        <v>16</v>
      </c>
      <c r="J136" s="9" t="s">
        <v>73</v>
      </c>
      <c r="K136" s="9" t="s">
        <v>56</v>
      </c>
      <c r="L136" s="9">
        <v>25</v>
      </c>
      <c r="M136" s="11">
        <v>9000</v>
      </c>
      <c r="N136" s="11">
        <v>225000</v>
      </c>
      <c r="O136" s="7" t="str">
        <f>"S"&amp;_xlfn.ISOWEEKNUM(Semaine_1[[#This Row],[Date]])</f>
        <v>S34</v>
      </c>
      <c r="P136" t="str">
        <f>TEXT(Semaine_1[[#This Row],[Date]],"MMMM")</f>
        <v>août</v>
      </c>
    </row>
    <row r="137" spans="1:16" ht="28.15" x14ac:dyDescent="0.45">
      <c r="A137" s="8">
        <v>46257</v>
      </c>
      <c r="B137" s="9" t="s">
        <v>42</v>
      </c>
      <c r="C137" s="9" t="s">
        <v>22</v>
      </c>
      <c r="D137" s="9" t="s">
        <v>193</v>
      </c>
      <c r="E137" s="9" t="s">
        <v>194</v>
      </c>
      <c r="F137" s="10">
        <v>778003741</v>
      </c>
      <c r="G137" s="9" t="s">
        <v>195</v>
      </c>
      <c r="H137" s="9" t="s">
        <v>13</v>
      </c>
      <c r="I137" s="9" t="s">
        <v>16</v>
      </c>
      <c r="J137" s="9" t="s">
        <v>73</v>
      </c>
      <c r="K137" s="9" t="s">
        <v>56</v>
      </c>
      <c r="L137" s="9">
        <v>5</v>
      </c>
      <c r="M137" s="11">
        <v>9000</v>
      </c>
      <c r="N137" s="11">
        <v>45000</v>
      </c>
      <c r="O137" s="7" t="str">
        <f>"S"&amp;_xlfn.ISOWEEKNUM(Semaine_1[[#This Row],[Date]])</f>
        <v>S34</v>
      </c>
      <c r="P137" t="str">
        <f>TEXT(Semaine_1[[#This Row],[Date]],"MMMM")</f>
        <v>août</v>
      </c>
    </row>
    <row r="138" spans="1:16" ht="28.15" x14ac:dyDescent="0.45">
      <c r="A138" s="8">
        <v>46256</v>
      </c>
      <c r="B138" s="9" t="s">
        <v>43</v>
      </c>
      <c r="C138" s="9" t="s">
        <v>27</v>
      </c>
      <c r="D138" s="9" t="s">
        <v>122</v>
      </c>
      <c r="E138" s="9" t="s">
        <v>123</v>
      </c>
      <c r="F138" s="10">
        <v>784537895</v>
      </c>
      <c r="G138" s="9" t="s">
        <v>15</v>
      </c>
      <c r="H138" s="9" t="s">
        <v>13</v>
      </c>
      <c r="I138" s="9" t="s">
        <v>16</v>
      </c>
      <c r="J138" s="9"/>
      <c r="K138" s="9" t="s">
        <v>26</v>
      </c>
      <c r="L138" s="9">
        <v>25</v>
      </c>
      <c r="M138" s="11">
        <v>26000</v>
      </c>
      <c r="N138" s="11">
        <v>650000</v>
      </c>
      <c r="O138" s="7" t="str">
        <f>"S"&amp;_xlfn.ISOWEEKNUM(Semaine_1[[#This Row],[Date]])</f>
        <v>S34</v>
      </c>
      <c r="P138" t="str">
        <f>TEXT(Semaine_1[[#This Row],[Date]],"MMMM")</f>
        <v>août</v>
      </c>
    </row>
    <row r="139" spans="1:16" ht="28.15" x14ac:dyDescent="0.45">
      <c r="A139" s="8">
        <v>46254</v>
      </c>
      <c r="B139" s="9" t="s">
        <v>43</v>
      </c>
      <c r="C139" s="9" t="s">
        <v>27</v>
      </c>
      <c r="D139" s="9" t="s">
        <v>122</v>
      </c>
      <c r="E139" s="9" t="s">
        <v>123</v>
      </c>
      <c r="F139" s="10">
        <v>784537895</v>
      </c>
      <c r="G139" s="9" t="s">
        <v>15</v>
      </c>
      <c r="H139" s="9" t="s">
        <v>13</v>
      </c>
      <c r="I139" s="9" t="s">
        <v>16</v>
      </c>
      <c r="J139" s="9"/>
      <c r="K139" s="9" t="s">
        <v>36</v>
      </c>
      <c r="L139" s="9">
        <v>25</v>
      </c>
      <c r="M139" s="11">
        <v>19000</v>
      </c>
      <c r="N139" s="11">
        <v>475000</v>
      </c>
      <c r="O139" s="7" t="str">
        <f>"S"&amp;_xlfn.ISOWEEKNUM(Semaine_1[[#This Row],[Date]])</f>
        <v>S34</v>
      </c>
      <c r="P139" t="str">
        <f>TEXT(Semaine_1[[#This Row],[Date]],"MMMM")</f>
        <v>août</v>
      </c>
    </row>
    <row r="140" spans="1:16" ht="28.15" x14ac:dyDescent="0.45">
      <c r="A140" s="8">
        <v>46254</v>
      </c>
      <c r="B140" s="9" t="s">
        <v>43</v>
      </c>
      <c r="C140" s="9" t="s">
        <v>27</v>
      </c>
      <c r="D140" s="9" t="s">
        <v>28</v>
      </c>
      <c r="E140" s="9" t="s">
        <v>44</v>
      </c>
      <c r="F140" s="10">
        <v>776149093</v>
      </c>
      <c r="G140" s="9" t="s">
        <v>23</v>
      </c>
      <c r="H140" s="9" t="s">
        <v>13</v>
      </c>
      <c r="I140" s="9" t="s">
        <v>16</v>
      </c>
      <c r="J140" s="9"/>
      <c r="K140" s="9" t="s">
        <v>32</v>
      </c>
      <c r="L140" s="9">
        <v>67</v>
      </c>
      <c r="M140" s="11">
        <v>5500</v>
      </c>
      <c r="N140" s="11">
        <v>368500</v>
      </c>
      <c r="O140" s="7" t="str">
        <f>"S"&amp;_xlfn.ISOWEEKNUM(Semaine_1[[#This Row],[Date]])</f>
        <v>S34</v>
      </c>
      <c r="P140" t="str">
        <f>TEXT(Semaine_1[[#This Row],[Date]],"MMMM")</f>
        <v>août</v>
      </c>
    </row>
    <row r="141" spans="1:16" ht="28.15" x14ac:dyDescent="0.45">
      <c r="A141" s="8">
        <v>46253</v>
      </c>
      <c r="B141" s="9" t="s">
        <v>43</v>
      </c>
      <c r="C141" s="9" t="s">
        <v>27</v>
      </c>
      <c r="D141" s="9" t="s">
        <v>48</v>
      </c>
      <c r="E141" s="9" t="s">
        <v>200</v>
      </c>
      <c r="F141" s="10">
        <v>771355863</v>
      </c>
      <c r="G141" s="9" t="s">
        <v>15</v>
      </c>
      <c r="H141" s="9" t="s">
        <v>13</v>
      </c>
      <c r="I141" s="9" t="s">
        <v>16</v>
      </c>
      <c r="J141" s="9"/>
      <c r="K141" s="9" t="s">
        <v>26</v>
      </c>
      <c r="L141" s="9">
        <v>25</v>
      </c>
      <c r="M141" s="11">
        <v>26000</v>
      </c>
      <c r="N141" s="11">
        <v>650000</v>
      </c>
      <c r="O141" s="7" t="str">
        <f>"S"&amp;_xlfn.ISOWEEKNUM(Semaine_1[[#This Row],[Date]])</f>
        <v>S34</v>
      </c>
      <c r="P141" t="str">
        <f>TEXT(Semaine_1[[#This Row],[Date]],"MMMM")</f>
        <v>août</v>
      </c>
    </row>
    <row r="142" spans="1:16" ht="28.15" x14ac:dyDescent="0.45">
      <c r="A142" s="8">
        <v>46253</v>
      </c>
      <c r="B142" s="9" t="s">
        <v>43</v>
      </c>
      <c r="C142" s="9" t="s">
        <v>27</v>
      </c>
      <c r="D142" s="9" t="s">
        <v>122</v>
      </c>
      <c r="E142" s="9" t="s">
        <v>201</v>
      </c>
      <c r="F142" s="10">
        <v>776180875</v>
      </c>
      <c r="G142" s="9" t="s">
        <v>15</v>
      </c>
      <c r="H142" s="9" t="s">
        <v>13</v>
      </c>
      <c r="I142" s="9" t="s">
        <v>16</v>
      </c>
      <c r="J142" s="9"/>
      <c r="K142" s="9" t="s">
        <v>26</v>
      </c>
      <c r="L142" s="9">
        <v>25</v>
      </c>
      <c r="M142" s="11">
        <v>26000</v>
      </c>
      <c r="N142" s="11">
        <v>650000</v>
      </c>
      <c r="O142" s="7" t="str">
        <f>"S"&amp;_xlfn.ISOWEEKNUM(Semaine_1[[#This Row],[Date]])</f>
        <v>S34</v>
      </c>
      <c r="P142" t="str">
        <f>TEXT(Semaine_1[[#This Row],[Date]],"MMMM")</f>
        <v>août</v>
      </c>
    </row>
    <row r="143" spans="1:16" ht="28.15" x14ac:dyDescent="0.45">
      <c r="A143" s="8">
        <v>46253</v>
      </c>
      <c r="B143" s="9" t="s">
        <v>43</v>
      </c>
      <c r="C143" s="9" t="s">
        <v>27</v>
      </c>
      <c r="D143" s="9" t="s">
        <v>28</v>
      </c>
      <c r="E143" s="9" t="s">
        <v>202</v>
      </c>
      <c r="F143" s="10">
        <v>776428218</v>
      </c>
      <c r="G143" s="9" t="s">
        <v>23</v>
      </c>
      <c r="H143" s="9" t="s">
        <v>13</v>
      </c>
      <c r="I143" s="9" t="s">
        <v>16</v>
      </c>
      <c r="J143" s="9"/>
      <c r="K143" s="9" t="s">
        <v>56</v>
      </c>
      <c r="L143" s="9">
        <v>227</v>
      </c>
      <c r="M143" s="11">
        <v>7250</v>
      </c>
      <c r="N143" s="11">
        <v>1645750</v>
      </c>
      <c r="O143" s="7" t="str">
        <f>"S"&amp;_xlfn.ISOWEEKNUM(Semaine_1[[#This Row],[Date]])</f>
        <v>S34</v>
      </c>
      <c r="P143" t="str">
        <f>TEXT(Semaine_1[[#This Row],[Date]],"MMMM")</f>
        <v>août</v>
      </c>
    </row>
    <row r="144" spans="1:16" ht="28.15" x14ac:dyDescent="0.45">
      <c r="A144" s="8">
        <v>46253</v>
      </c>
      <c r="B144" s="9" t="s">
        <v>43</v>
      </c>
      <c r="C144" s="9" t="s">
        <v>27</v>
      </c>
      <c r="D144" s="9" t="s">
        <v>59</v>
      </c>
      <c r="E144" s="9" t="s">
        <v>84</v>
      </c>
      <c r="F144" s="10">
        <v>762974040</v>
      </c>
      <c r="G144" s="9" t="s">
        <v>15</v>
      </c>
      <c r="H144" s="9" t="s">
        <v>13</v>
      </c>
      <c r="I144" s="9" t="s">
        <v>16</v>
      </c>
      <c r="J144" s="9"/>
      <c r="K144" s="9" t="s">
        <v>56</v>
      </c>
      <c r="L144" s="9">
        <v>10</v>
      </c>
      <c r="M144" s="11">
        <v>9000</v>
      </c>
      <c r="N144" s="11">
        <v>90000</v>
      </c>
      <c r="O144" s="7" t="str">
        <f>"S"&amp;_xlfn.ISOWEEKNUM(Semaine_1[[#This Row],[Date]])</f>
        <v>S34</v>
      </c>
      <c r="P144" t="str">
        <f>TEXT(Semaine_1[[#This Row],[Date]],"MMMM")</f>
        <v>août</v>
      </c>
    </row>
    <row r="145" spans="1:16" ht="28.15" x14ac:dyDescent="0.45">
      <c r="A145" s="8">
        <v>46253</v>
      </c>
      <c r="B145" s="9" t="s">
        <v>43</v>
      </c>
      <c r="C145" s="9" t="s">
        <v>27</v>
      </c>
      <c r="D145" s="9" t="s">
        <v>59</v>
      </c>
      <c r="E145" s="9" t="s">
        <v>84</v>
      </c>
      <c r="F145" s="10">
        <v>762974040</v>
      </c>
      <c r="G145" s="9" t="s">
        <v>15</v>
      </c>
      <c r="H145" s="9" t="s">
        <v>13</v>
      </c>
      <c r="I145" s="9" t="s">
        <v>16</v>
      </c>
      <c r="J145" s="9"/>
      <c r="K145" s="9" t="s">
        <v>26</v>
      </c>
      <c r="L145" s="9">
        <v>25</v>
      </c>
      <c r="M145" s="11">
        <v>26000</v>
      </c>
      <c r="N145" s="11">
        <v>650000</v>
      </c>
      <c r="O145" s="7" t="str">
        <f>"S"&amp;_xlfn.ISOWEEKNUM(Semaine_1[[#This Row],[Date]])</f>
        <v>S34</v>
      </c>
      <c r="P145" t="str">
        <f>TEXT(Semaine_1[[#This Row],[Date]],"MMMM")</f>
        <v>août</v>
      </c>
    </row>
    <row r="146" spans="1:16" ht="28.15" x14ac:dyDescent="0.45">
      <c r="A146" s="8">
        <v>46252</v>
      </c>
      <c r="B146" s="9" t="s">
        <v>43</v>
      </c>
      <c r="C146" s="9" t="s">
        <v>27</v>
      </c>
      <c r="D146" s="9" t="s">
        <v>28</v>
      </c>
      <c r="E146" s="9" t="s">
        <v>202</v>
      </c>
      <c r="F146" s="10">
        <v>776428218</v>
      </c>
      <c r="G146" s="9" t="s">
        <v>23</v>
      </c>
      <c r="H146" s="9" t="s">
        <v>13</v>
      </c>
      <c r="I146" s="9" t="s">
        <v>16</v>
      </c>
      <c r="J146" s="9"/>
      <c r="K146" s="9" t="s">
        <v>56</v>
      </c>
      <c r="L146" s="9">
        <v>1000</v>
      </c>
      <c r="M146" s="11">
        <v>7250</v>
      </c>
      <c r="N146" s="11">
        <v>7250000</v>
      </c>
      <c r="O146" s="7" t="str">
        <f>"S"&amp;_xlfn.ISOWEEKNUM(Semaine_1[[#This Row],[Date]])</f>
        <v>S34</v>
      </c>
      <c r="P146" t="str">
        <f>TEXT(Semaine_1[[#This Row],[Date]],"MMMM")</f>
        <v>août</v>
      </c>
    </row>
    <row r="147" spans="1:16" ht="28.15" x14ac:dyDescent="0.45">
      <c r="A147" s="8">
        <v>46256</v>
      </c>
      <c r="B147" s="9" t="s">
        <v>40</v>
      </c>
      <c r="C147" s="9" t="s">
        <v>14</v>
      </c>
      <c r="D147" s="9" t="s">
        <v>70</v>
      </c>
      <c r="E147" s="9" t="s">
        <v>176</v>
      </c>
      <c r="F147" s="10">
        <v>775411988</v>
      </c>
      <c r="G147" s="9" t="s">
        <v>23</v>
      </c>
      <c r="H147" s="9" t="s">
        <v>13</v>
      </c>
      <c r="I147" s="9" t="s">
        <v>16</v>
      </c>
      <c r="J147" s="9" t="s">
        <v>73</v>
      </c>
      <c r="K147" s="9" t="s">
        <v>165</v>
      </c>
      <c r="L147" s="9">
        <v>25</v>
      </c>
      <c r="M147" s="11">
        <v>11250</v>
      </c>
      <c r="N147" s="11">
        <v>281250</v>
      </c>
      <c r="O147" s="7" t="str">
        <f>"S"&amp;_xlfn.ISOWEEKNUM(Semaine_1[[#This Row],[Date]])</f>
        <v>S34</v>
      </c>
      <c r="P147" t="str">
        <f>TEXT(Semaine_1[[#This Row],[Date]],"MMMM")</f>
        <v>août</v>
      </c>
    </row>
    <row r="148" spans="1:16" ht="28.15" x14ac:dyDescent="0.45">
      <c r="A148" s="8">
        <v>46254</v>
      </c>
      <c r="B148" s="9" t="s">
        <v>40</v>
      </c>
      <c r="C148" s="9" t="s">
        <v>14</v>
      </c>
      <c r="D148" s="9" t="s">
        <v>71</v>
      </c>
      <c r="E148" s="9" t="s">
        <v>196</v>
      </c>
      <c r="F148" s="10">
        <v>779676016</v>
      </c>
      <c r="G148" s="9" t="s">
        <v>15</v>
      </c>
      <c r="H148" s="9" t="s">
        <v>13</v>
      </c>
      <c r="I148" s="9" t="s">
        <v>16</v>
      </c>
      <c r="J148" s="9" t="s">
        <v>73</v>
      </c>
      <c r="K148" s="9" t="s">
        <v>56</v>
      </c>
      <c r="L148" s="9">
        <v>600</v>
      </c>
      <c r="M148" s="11">
        <v>7250</v>
      </c>
      <c r="N148" s="11">
        <v>4350000</v>
      </c>
      <c r="O148" s="7" t="str">
        <f>"S"&amp;_xlfn.ISOWEEKNUM(Semaine_1[[#This Row],[Date]])</f>
        <v>S34</v>
      </c>
      <c r="P148" t="str">
        <f>TEXT(Semaine_1[[#This Row],[Date]],"MMMM")</f>
        <v>août</v>
      </c>
    </row>
    <row r="149" spans="1:16" ht="28.15" x14ac:dyDescent="0.45">
      <c r="A149" s="8">
        <v>46253</v>
      </c>
      <c r="B149" s="9" t="s">
        <v>34</v>
      </c>
      <c r="C149" s="9" t="s">
        <v>21</v>
      </c>
      <c r="D149" s="9" t="s">
        <v>130</v>
      </c>
      <c r="E149" s="9" t="s">
        <v>131</v>
      </c>
      <c r="F149" s="10">
        <v>763469670</v>
      </c>
      <c r="G149" s="9" t="s">
        <v>15</v>
      </c>
      <c r="H149" s="9" t="s">
        <v>13</v>
      </c>
      <c r="I149" s="9" t="s">
        <v>16</v>
      </c>
      <c r="J149" s="9" t="s">
        <v>73</v>
      </c>
      <c r="K149" s="9" t="s">
        <v>64</v>
      </c>
      <c r="L149" s="9">
        <v>25</v>
      </c>
      <c r="M149" s="11">
        <v>28000</v>
      </c>
      <c r="N149" s="11">
        <v>700000</v>
      </c>
      <c r="O149" s="7" t="str">
        <f>"S"&amp;_xlfn.ISOWEEKNUM(Semaine_1[[#This Row],[Date]])</f>
        <v>S34</v>
      </c>
      <c r="P149" t="str">
        <f>TEXT(Semaine_1[[#This Row],[Date]],"MMMM")</f>
        <v>août</v>
      </c>
    </row>
    <row r="150" spans="1:16" x14ac:dyDescent="0.45">
      <c r="A150" s="8">
        <v>46253</v>
      </c>
      <c r="B150" s="9" t="s">
        <v>33</v>
      </c>
      <c r="C150" s="9" t="s">
        <v>29</v>
      </c>
      <c r="D150" s="9" t="s">
        <v>60</v>
      </c>
      <c r="E150" s="9" t="s">
        <v>203</v>
      </c>
      <c r="F150" s="10">
        <v>772773318</v>
      </c>
      <c r="G150" s="9" t="s">
        <v>148</v>
      </c>
      <c r="H150" s="9" t="s">
        <v>13</v>
      </c>
      <c r="I150" s="9" t="s">
        <v>16</v>
      </c>
      <c r="J150" s="9" t="s">
        <v>73</v>
      </c>
      <c r="K150" s="9" t="s">
        <v>38</v>
      </c>
      <c r="L150" s="9">
        <v>5</v>
      </c>
      <c r="M150" s="11">
        <v>9000</v>
      </c>
      <c r="N150" s="11">
        <v>45000</v>
      </c>
      <c r="O150" s="7" t="str">
        <f>"S"&amp;_xlfn.ISOWEEKNUM(Semaine_1[[#This Row],[Date]])</f>
        <v>S34</v>
      </c>
      <c r="P150" t="str">
        <f>TEXT(Semaine_1[[#This Row],[Date]],"MMMM")</f>
        <v>août</v>
      </c>
    </row>
    <row r="151" spans="1:16" ht="28.15" x14ac:dyDescent="0.45">
      <c r="A151" s="8">
        <v>46254</v>
      </c>
      <c r="B151" s="9" t="s">
        <v>40</v>
      </c>
      <c r="C151" s="9" t="s">
        <v>14</v>
      </c>
      <c r="D151" s="9" t="s">
        <v>197</v>
      </c>
      <c r="E151" s="9" t="s">
        <v>198</v>
      </c>
      <c r="F151" s="10">
        <v>777470328</v>
      </c>
      <c r="G151" s="9" t="s">
        <v>199</v>
      </c>
      <c r="H151" s="9" t="s">
        <v>144</v>
      </c>
      <c r="I151" s="9" t="s">
        <v>16</v>
      </c>
      <c r="J151" s="9" t="s">
        <v>73</v>
      </c>
      <c r="K151" s="9" t="s">
        <v>57</v>
      </c>
      <c r="L151" s="9">
        <v>2</v>
      </c>
      <c r="M151" s="11">
        <v>4500</v>
      </c>
      <c r="N151" s="11">
        <v>9000</v>
      </c>
      <c r="O151" s="7" t="str">
        <f>"S"&amp;_xlfn.ISOWEEKNUM(Semaine_1[[#This Row],[Date]])</f>
        <v>S34</v>
      </c>
      <c r="P151" t="str">
        <f>TEXT(Semaine_1[[#This Row],[Date]],"MMMM")</f>
        <v>août</v>
      </c>
    </row>
    <row r="152" spans="1:16" ht="28.15" x14ac:dyDescent="0.45">
      <c r="A152" s="8">
        <v>46256</v>
      </c>
      <c r="B152" s="9" t="s">
        <v>45</v>
      </c>
      <c r="C152" s="9" t="s">
        <v>39</v>
      </c>
      <c r="D152" s="9" t="s">
        <v>92</v>
      </c>
      <c r="E152" s="9" t="s">
        <v>204</v>
      </c>
      <c r="F152" s="10">
        <v>784785900</v>
      </c>
      <c r="G152" s="9" t="s">
        <v>15</v>
      </c>
      <c r="H152" s="9" t="s">
        <v>13</v>
      </c>
      <c r="I152" s="9" t="s">
        <v>16</v>
      </c>
      <c r="J152" s="9" t="s">
        <v>205</v>
      </c>
      <c r="K152" s="9" t="s">
        <v>26</v>
      </c>
      <c r="L152" s="9">
        <v>100</v>
      </c>
      <c r="M152" s="11">
        <v>26000</v>
      </c>
      <c r="N152" s="11">
        <v>2600000</v>
      </c>
      <c r="O152" s="7" t="str">
        <f>"S"&amp;_xlfn.ISOWEEKNUM(Semaine_1[[#This Row],[Date]])</f>
        <v>S34</v>
      </c>
      <c r="P152" t="str">
        <f>TEXT(Semaine_1[[#This Row],[Date]],"MMMM")</f>
        <v>août</v>
      </c>
    </row>
    <row r="153" spans="1:16" x14ac:dyDescent="0.45">
      <c r="A153" s="8">
        <v>46255</v>
      </c>
      <c r="B153" s="9" t="s">
        <v>41</v>
      </c>
      <c r="C153" s="9" t="s">
        <v>24</v>
      </c>
      <c r="D153" s="9" t="s">
        <v>25</v>
      </c>
      <c r="E153" s="9" t="s">
        <v>206</v>
      </c>
      <c r="F153" s="10">
        <v>776634479</v>
      </c>
      <c r="G153" s="9" t="s">
        <v>15</v>
      </c>
      <c r="H153" s="9" t="s">
        <v>13</v>
      </c>
      <c r="I153" s="9" t="s">
        <v>16</v>
      </c>
      <c r="J153" s="9" t="s">
        <v>207</v>
      </c>
      <c r="K153" s="9" t="s">
        <v>58</v>
      </c>
      <c r="L153" s="9">
        <v>2</v>
      </c>
      <c r="M153" s="11">
        <v>15500</v>
      </c>
      <c r="N153" s="11">
        <v>31000</v>
      </c>
      <c r="O153" s="7" t="str">
        <f>"S"&amp;_xlfn.ISOWEEKNUM(Semaine_1[[#This Row],[Date]])</f>
        <v>S34</v>
      </c>
      <c r="P153" t="str">
        <f>TEXT(Semaine_1[[#This Row],[Date]],"MMMM")</f>
        <v>août</v>
      </c>
    </row>
    <row r="154" spans="1:16" x14ac:dyDescent="0.45">
      <c r="A154" s="8">
        <v>46255</v>
      </c>
      <c r="B154" s="9" t="s">
        <v>41</v>
      </c>
      <c r="C154" s="9" t="s">
        <v>24</v>
      </c>
      <c r="D154" s="9" t="s">
        <v>25</v>
      </c>
      <c r="E154" s="9" t="s">
        <v>206</v>
      </c>
      <c r="F154" s="10">
        <v>776634479</v>
      </c>
      <c r="G154" s="9" t="s">
        <v>15</v>
      </c>
      <c r="H154" s="9" t="s">
        <v>13</v>
      </c>
      <c r="I154" s="9" t="s">
        <v>16</v>
      </c>
      <c r="J154" s="9" t="s">
        <v>207</v>
      </c>
      <c r="K154" s="9" t="s">
        <v>165</v>
      </c>
      <c r="L154" s="9">
        <v>3</v>
      </c>
      <c r="M154" s="11">
        <v>11250</v>
      </c>
      <c r="N154" s="11">
        <v>33750</v>
      </c>
      <c r="O154" s="7" t="str">
        <f>"S"&amp;_xlfn.ISOWEEKNUM(Semaine_1[[#This Row],[Date]])</f>
        <v>S34</v>
      </c>
      <c r="P154" t="str">
        <f>TEXT(Semaine_1[[#This Row],[Date]],"MMMM")</f>
        <v>août</v>
      </c>
    </row>
    <row r="155" spans="1:16" ht="28.15" x14ac:dyDescent="0.45">
      <c r="A155" s="8">
        <v>46254</v>
      </c>
      <c r="B155" s="9" t="s">
        <v>33</v>
      </c>
      <c r="C155" s="9" t="s">
        <v>29</v>
      </c>
      <c r="D155" s="9" t="s">
        <v>47</v>
      </c>
      <c r="E155" s="9" t="s">
        <v>94</v>
      </c>
      <c r="F155" s="10">
        <v>770217868</v>
      </c>
      <c r="G155" s="9" t="s">
        <v>15</v>
      </c>
      <c r="H155" s="9" t="s">
        <v>13</v>
      </c>
      <c r="I155" s="9" t="s">
        <v>16</v>
      </c>
      <c r="J155" s="9" t="s">
        <v>208</v>
      </c>
      <c r="K155" s="9" t="s">
        <v>26</v>
      </c>
      <c r="L155" s="9">
        <v>50</v>
      </c>
      <c r="M155" s="11">
        <v>26000</v>
      </c>
      <c r="N155" s="11">
        <v>1300000</v>
      </c>
      <c r="O155" s="7" t="str">
        <f>"S"&amp;_xlfn.ISOWEEKNUM(Semaine_1[[#This Row],[Date]])</f>
        <v>S34</v>
      </c>
      <c r="P155" t="str">
        <f>TEXT(Semaine_1[[#This Row],[Date]],"MMMM")</f>
        <v>août</v>
      </c>
    </row>
    <row r="156" spans="1:16" ht="28.15" x14ac:dyDescent="0.45">
      <c r="A156" s="8">
        <v>46254</v>
      </c>
      <c r="B156" s="9" t="s">
        <v>40</v>
      </c>
      <c r="C156" s="9" t="s">
        <v>14</v>
      </c>
      <c r="D156" s="9" t="s">
        <v>67</v>
      </c>
      <c r="E156" s="9" t="s">
        <v>119</v>
      </c>
      <c r="F156" s="10">
        <v>772873297</v>
      </c>
      <c r="G156" s="9" t="s">
        <v>23</v>
      </c>
      <c r="H156" s="9" t="s">
        <v>13</v>
      </c>
      <c r="I156" s="9" t="s">
        <v>16</v>
      </c>
      <c r="J156" s="9" t="s">
        <v>209</v>
      </c>
      <c r="K156" s="9" t="s">
        <v>97</v>
      </c>
      <c r="L156" s="9">
        <v>2</v>
      </c>
      <c r="M156" s="11">
        <v>11500</v>
      </c>
      <c r="N156" s="11">
        <v>23000</v>
      </c>
      <c r="O156" s="7" t="str">
        <f>"S"&amp;_xlfn.ISOWEEKNUM(Semaine_1[[#This Row],[Date]])</f>
        <v>S34</v>
      </c>
      <c r="P156" t="str">
        <f>TEXT(Semaine_1[[#This Row],[Date]],"MMMM")</f>
        <v>août</v>
      </c>
    </row>
    <row r="157" spans="1:16" x14ac:dyDescent="0.45">
      <c r="A157" s="8">
        <v>46253</v>
      </c>
      <c r="B157" s="9" t="s">
        <v>33</v>
      </c>
      <c r="C157" s="9" t="s">
        <v>29</v>
      </c>
      <c r="D157" s="9" t="s">
        <v>47</v>
      </c>
      <c r="E157" s="9" t="s">
        <v>112</v>
      </c>
      <c r="F157" s="10">
        <v>765434141</v>
      </c>
      <c r="G157" s="9" t="s">
        <v>15</v>
      </c>
      <c r="H157" s="9" t="s">
        <v>13</v>
      </c>
      <c r="I157" s="9" t="s">
        <v>16</v>
      </c>
      <c r="J157" s="9" t="s">
        <v>55</v>
      </c>
      <c r="K157" s="9" t="s">
        <v>26</v>
      </c>
      <c r="L157" s="9">
        <v>25</v>
      </c>
      <c r="M157" s="11">
        <v>26000</v>
      </c>
      <c r="N157" s="11">
        <v>650000</v>
      </c>
      <c r="O157" s="7" t="str">
        <f>"S"&amp;_xlfn.ISOWEEKNUM(Semaine_1[[#This Row],[Date]])</f>
        <v>S34</v>
      </c>
      <c r="P157" t="str">
        <f>TEXT(Semaine_1[[#This Row],[Date]],"MMMM")</f>
        <v>août</v>
      </c>
    </row>
    <row r="158" spans="1:16" x14ac:dyDescent="0.45">
      <c r="A158" s="8">
        <v>46253</v>
      </c>
      <c r="B158" s="9" t="s">
        <v>33</v>
      </c>
      <c r="C158" s="9" t="s">
        <v>29</v>
      </c>
      <c r="D158" s="9" t="s">
        <v>60</v>
      </c>
      <c r="E158" s="9" t="s">
        <v>85</v>
      </c>
      <c r="F158" s="10">
        <v>774289051</v>
      </c>
      <c r="G158" s="9" t="s">
        <v>15</v>
      </c>
      <c r="H158" s="9" t="s">
        <v>13</v>
      </c>
      <c r="I158" s="9" t="s">
        <v>16</v>
      </c>
      <c r="J158" s="9" t="s">
        <v>55</v>
      </c>
      <c r="K158" s="9" t="s">
        <v>26</v>
      </c>
      <c r="L158" s="9">
        <v>25</v>
      </c>
      <c r="M158" s="11">
        <v>26000</v>
      </c>
      <c r="N158" s="11">
        <v>650000</v>
      </c>
      <c r="O158" s="7" t="str">
        <f>"S"&amp;_xlfn.ISOWEEKNUM(Semaine_1[[#This Row],[Date]])</f>
        <v>S34</v>
      </c>
      <c r="P158" t="str">
        <f>TEXT(Semaine_1[[#This Row],[Date]],"MMMM")</f>
        <v>août</v>
      </c>
    </row>
    <row r="159" spans="1:16" x14ac:dyDescent="0.45">
      <c r="A159" s="8">
        <v>46253</v>
      </c>
      <c r="B159" s="9" t="s">
        <v>41</v>
      </c>
      <c r="C159" s="9" t="s">
        <v>24</v>
      </c>
      <c r="D159" s="9" t="s">
        <v>50</v>
      </c>
      <c r="E159" s="9" t="s">
        <v>210</v>
      </c>
      <c r="F159" s="10">
        <v>766447275</v>
      </c>
      <c r="G159" s="9" t="s">
        <v>15</v>
      </c>
      <c r="H159" s="9" t="s">
        <v>13</v>
      </c>
      <c r="I159" s="9" t="s">
        <v>16</v>
      </c>
      <c r="J159" s="9" t="s">
        <v>211</v>
      </c>
      <c r="K159" s="9" t="s">
        <v>56</v>
      </c>
      <c r="L159" s="9">
        <v>20</v>
      </c>
      <c r="M159" s="11">
        <v>9000</v>
      </c>
      <c r="N159" s="11">
        <v>180000</v>
      </c>
      <c r="O159" s="7" t="str">
        <f>"S"&amp;_xlfn.ISOWEEKNUM(Semaine_1[[#This Row],[Date]])</f>
        <v>S34</v>
      </c>
      <c r="P159" t="str">
        <f>TEXT(Semaine_1[[#This Row],[Date]],"MMMM")</f>
        <v>août</v>
      </c>
    </row>
    <row r="160" spans="1:16" x14ac:dyDescent="0.45">
      <c r="A160" s="8">
        <v>46253</v>
      </c>
      <c r="B160" s="9" t="s">
        <v>41</v>
      </c>
      <c r="C160" s="9" t="s">
        <v>24</v>
      </c>
      <c r="D160" s="9" t="s">
        <v>50</v>
      </c>
      <c r="E160" s="9" t="s">
        <v>212</v>
      </c>
      <c r="F160" s="10">
        <v>775426848</v>
      </c>
      <c r="G160" s="9" t="s">
        <v>23</v>
      </c>
      <c r="H160" s="9" t="s">
        <v>13</v>
      </c>
      <c r="I160" s="9" t="s">
        <v>16</v>
      </c>
      <c r="J160" s="9" t="s">
        <v>213</v>
      </c>
      <c r="K160" s="9" t="s">
        <v>36</v>
      </c>
      <c r="L160" s="9">
        <v>25</v>
      </c>
      <c r="M160" s="11">
        <v>19500</v>
      </c>
      <c r="N160" s="11">
        <v>487500</v>
      </c>
      <c r="O160" s="7" t="str">
        <f>"S"&amp;_xlfn.ISOWEEKNUM(Semaine_1[[#This Row],[Date]])</f>
        <v>S34</v>
      </c>
      <c r="P160" t="str">
        <f>TEXT(Semaine_1[[#This Row],[Date]],"MMMM")</f>
        <v>août</v>
      </c>
    </row>
    <row r="161" spans="1:16" ht="28.15" x14ac:dyDescent="0.45">
      <c r="A161" s="18">
        <v>46257</v>
      </c>
      <c r="B161" s="19" t="s">
        <v>42</v>
      </c>
      <c r="C161" s="19" t="s">
        <v>22</v>
      </c>
      <c r="D161" s="19" t="s">
        <v>179</v>
      </c>
      <c r="E161" s="19" t="s">
        <v>190</v>
      </c>
      <c r="F161" s="20">
        <v>765652728</v>
      </c>
      <c r="G161" s="19" t="s">
        <v>15</v>
      </c>
      <c r="H161" s="19" t="s">
        <v>13</v>
      </c>
      <c r="I161" s="19" t="s">
        <v>16</v>
      </c>
      <c r="J161" s="19" t="s">
        <v>73</v>
      </c>
      <c r="K161" s="19" t="s">
        <v>26</v>
      </c>
      <c r="L161" s="19">
        <v>1</v>
      </c>
      <c r="M161" s="21">
        <v>11500</v>
      </c>
      <c r="N161" s="21">
        <v>11500</v>
      </c>
      <c r="O161" s="22" t="str">
        <f>"S"&amp;_xlfn.ISOWEEKNUM(Semaine_1[[#This Row],[Date]])</f>
        <v>S34</v>
      </c>
      <c r="P161" s="23" t="str">
        <f>TEXT(Semaine_1[[#This Row],[Date]],"MMMM")</f>
        <v>août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2026-08-24T15:38:50Z</dcterms:modified>
</cp:coreProperties>
</file>