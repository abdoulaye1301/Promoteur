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DEAA932F-D285-4986-9707-59172EB9896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0" i="2" l="1"/>
  <c r="P80" i="2"/>
  <c r="O79" i="2"/>
  <c r="P79" i="2"/>
  <c r="O78" i="2"/>
  <c r="P78" i="2"/>
  <c r="O76" i="2"/>
  <c r="O77" i="2"/>
  <c r="P76" i="2"/>
  <c r="P77" i="2"/>
  <c r="O75" i="2"/>
  <c r="P75" i="2"/>
  <c r="O74" i="2"/>
  <c r="P74" i="2"/>
  <c r="O70" i="2"/>
  <c r="O71" i="2"/>
  <c r="O72" i="2"/>
  <c r="O73" i="2"/>
  <c r="P70" i="2"/>
  <c r="P71" i="2"/>
  <c r="P72" i="2"/>
  <c r="P73" i="2"/>
  <c r="O68" i="2"/>
  <c r="O69" i="2"/>
  <c r="P68" i="2"/>
  <c r="P69" i="2"/>
  <c r="O65" i="2"/>
  <c r="O66" i="2"/>
  <c r="O67" i="2"/>
  <c r="P65" i="2"/>
  <c r="P66" i="2"/>
  <c r="P67" i="2"/>
  <c r="O64" i="2"/>
  <c r="P64" i="2"/>
  <c r="O63" i="2"/>
  <c r="P63" i="2"/>
  <c r="O62" i="2"/>
  <c r="P62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<sst xmlns="http://schemas.openxmlformats.org/spreadsheetml/2006/main" count="727" uniqueCount="153">
  <si>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</si>
  <si>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</si>
  <si>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</si>
  <si>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</si>
  <si>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</si>
  <si>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</si>
  <si>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</si>
  <si>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</si>
  <si>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</si>
  <si>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</si>
  <si>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</si>
  <si>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</si>
  <si>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</si>
  <si>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</si>
  <si>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</si>
  <si>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</si>
  <si>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</si>
  <si>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</si>
  <si>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</si>
  <si>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</si>
  <si>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</si>
  <si>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</si>
  <si>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</si>
  <si>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</si>
  <si>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</si>
  <si>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</si>
  <si>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</si>
  <si>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</si>
  <si>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</si>
  <si>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</si>
  <si>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</si>
  <si>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</si>
  <si>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</si>
  <si>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</si>
  <si>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</si>
  <si>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</si>
  <si>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</si>
  <si>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</si>
  <si>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</si>
  <si>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</si>
  <si>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</si>
  <si>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</si>
  <si>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</si>
  <si>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</si>
  <si>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</si>
  <si>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</si>
  <si>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</si>
  <si>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</si>
  <si>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</si>
  <si>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</si>
  <si>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</si>
  <si>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</si>
  <si>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</si>
  <si>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</si>
  <si>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</si>
  <si>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</si>
  <si>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</si>
  <si>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</si>
  <si>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</si>
  <si>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</si>
  <si>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</si>
  <si>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</si>
  <si>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</si>
  <si>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</si>
  <si>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</si>
  <si>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</si>
  <si>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</si>
  <si>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</si>
  <si>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</si>
  <si>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</si>
  <si>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</si>
  <si>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</si>
  <si>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</si>
  <si>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</si>
  <si>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</si>
  <si>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</si>
  <si>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</si>
  <si>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</si>
  <si>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</si>
  <si>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</si>
  <si>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</si>
  <si>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</si>
  <si>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</si>
  <si>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</si>
  <si>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</si>
  <si>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</si>
  <si>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</si>
  <si>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</si>
  <si>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</si>
  <si>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</si>
  <si>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</si>
  <si>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</si>
  <si>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</si>
  <si>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</si>
  <si>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</si>
  <si>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</si>
  <si>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</si>
  <si>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</si>
  <si>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</si>
  <si>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</si>
  <si>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</si>
  <si>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</si>
  <si>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</si>
  <si>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</si>
  <si>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</si>
  <si>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</si>
  <si>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</si>
  <si>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</si>
  <si>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</si>
  <si>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</si>
  <si>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</si>
  <si>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</si>
  <si>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</si>
  <si>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</si>
  <si>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</si>
  <si>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</si>
  <si>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</si>
  <si>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</si>
  <si>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</si>
  <si>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</si>
  <si>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</si>
  <si>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</si>
  <si>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Bassoum khamza</t>
  </si>
  <si>
    <t>Khadim</t>
  </si>
  <si>
    <t>Marche Sahm</t>
  </si>
  <si>
    <t>MATAR LY</t>
  </si>
  <si>
    <t>Alune Ndiaye</t>
  </si>
  <si>
    <t>J'ai livre aussi 2 carton de l'ai kamlac évaporé+3 carton d réfrai+1 carton de kamlac chocolat</t>
  </si>
  <si>
    <t>Lait Janus 18gx100</t>
  </si>
  <si>
    <t>Diamaguene</t>
  </si>
  <si>
    <t>Mouhamed KANTE</t>
  </si>
  <si>
    <t>Keur Massar Ainoumady</t>
  </si>
  <si>
    <t>Aziz</t>
  </si>
  <si>
    <t>Liberté 1 à 6</t>
  </si>
  <si>
    <t>Moussa Sow</t>
  </si>
  <si>
    <t>Korka</t>
  </si>
  <si>
    <t>Omar</t>
  </si>
  <si>
    <t>Le toro</t>
  </si>
  <si>
    <t>Merci beaucoup</t>
  </si>
  <si>
    <t>Point E</t>
  </si>
  <si>
    <t>Aliou</t>
  </si>
  <si>
    <t>Café Altimo pot 100g x 24 pcs</t>
  </si>
  <si>
    <t>TAPAHA GAYE</t>
  </si>
  <si>
    <t>Guinaw Rail</t>
  </si>
  <si>
    <t>Khadime FALL</t>
  </si>
  <si>
    <t>Matar Gaye</t>
  </si>
  <si>
    <t>MACTAR</t>
  </si>
  <si>
    <t>Il dit que sur la facture c'est écrit 50+3 alors que c'est 50+2 pour qoit</t>
  </si>
  <si>
    <t>Ba boutique</t>
  </si>
  <si>
    <t>il veut essayer les chocolats en poudre</t>
  </si>
  <si>
    <t>CHERIF DIALLO</t>
  </si>
  <si>
    <t>Alioune</t>
  </si>
  <si>
    <t>Supermarché le cayor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</si>
</sst>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0" totalsRowShown="0" headerRowDxfId="18" headerRowBorderDxfId="17" tableBorderDxfId="16">
  <autoFilter ref="A1:P8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0"/>
  <sheetViews>
    <sheetView tabSelected="1" topLeftCell="H1" zoomScale="79" zoomScaleNormal="79" workbookViewId="0">
      <selection activeCell="K13" sqref="K1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  <row r="55" spans="1:16" x14ac:dyDescent="0.45">
      <c r="A55" s="12">
        <v>45997</v>
      </c>
      <c r="B55" s="13" t="s">
        <v>14</v>
      </c>
      <c r="C55" s="13" t="s">
        <v>15</v>
      </c>
      <c r="D55" s="13" t="s">
        <v>86</v>
      </c>
      <c r="E55" s="13" t="s">
        <v>122</v>
      </c>
      <c r="F55" s="13">
        <v>778013213</v>
      </c>
      <c r="G55" s="13" t="s">
        <v>49</v>
      </c>
      <c r="H55" s="13" t="s">
        <v>13</v>
      </c>
      <c r="I55" s="13" t="s">
        <v>17</v>
      </c>
      <c r="J55" s="14" t="s">
        <v>17</v>
      </c>
      <c r="K55" s="13" t="s">
        <v>60</v>
      </c>
      <c r="L55" s="13">
        <v>25</v>
      </c>
      <c r="M55" s="15">
        <v>10500</v>
      </c>
      <c r="N55" s="15">
        <v>262500</v>
      </c>
      <c r="O55" s="16" t="str">
        <f>"S"&amp;_xlfn.ISOWEEKNUM(Semaine_1[[#This Row],[Date]])</f>
        <v>S49</v>
      </c>
      <c r="P55" s="17" t="str">
        <f>TEXT(Semaine_1[[#This Row],[Date]],"MMMM")</f>
        <v>décembre</v>
      </c>
    </row>
    <row r="56" spans="1:16" x14ac:dyDescent="0.45">
      <c r="A56" s="12">
        <v>45997</v>
      </c>
      <c r="B56" s="13" t="s">
        <v>14</v>
      </c>
      <c r="C56" s="13" t="s">
        <v>15</v>
      </c>
      <c r="D56" s="13" t="s">
        <v>28</v>
      </c>
      <c r="E56" s="13" t="s">
        <v>123</v>
      </c>
      <c r="F56" s="13">
        <v>776712564</v>
      </c>
      <c r="G56" s="13" t="s">
        <v>49</v>
      </c>
      <c r="H56" s="13" t="s">
        <v>13</v>
      </c>
      <c r="I56" s="13" t="s">
        <v>17</v>
      </c>
      <c r="J56" s="14" t="s">
        <v>17</v>
      </c>
      <c r="K56" s="13" t="s">
        <v>72</v>
      </c>
      <c r="L56" s="13">
        <v>25</v>
      </c>
      <c r="M56" s="15">
        <v>26000</v>
      </c>
      <c r="N56" s="15">
        <v>650000</v>
      </c>
      <c r="O56" s="16" t="str">
        <f>"S"&amp;_xlfn.ISOWEEKNUM(Semaine_1[[#This Row],[Date]])</f>
        <v>S49</v>
      </c>
      <c r="P56" s="17" t="str">
        <f>TEXT(Semaine_1[[#This Row],[Date]],"MMMM")</f>
        <v>décembre</v>
      </c>
    </row>
    <row r="57" spans="1:16" x14ac:dyDescent="0.45">
      <c r="A57" s="12">
        <v>45996</v>
      </c>
      <c r="B57" s="13" t="s">
        <v>88</v>
      </c>
      <c r="C57" s="13" t="s">
        <v>89</v>
      </c>
      <c r="D57" s="13" t="s">
        <v>124</v>
      </c>
      <c r="E57" s="13" t="s">
        <v>125</v>
      </c>
      <c r="F57" s="13">
        <v>773531341</v>
      </c>
      <c r="G57" s="13" t="s">
        <v>16</v>
      </c>
      <c r="H57" s="13" t="s">
        <v>13</v>
      </c>
      <c r="I57" s="13" t="s">
        <v>17</v>
      </c>
      <c r="J57" s="14" t="s">
        <v>21</v>
      </c>
      <c r="K57" s="13" t="s">
        <v>72</v>
      </c>
      <c r="L57" s="13">
        <v>200</v>
      </c>
      <c r="M57" s="15">
        <v>26000</v>
      </c>
      <c r="N57" s="15">
        <v>5200000</v>
      </c>
      <c r="O57" s="16" t="str">
        <f>"S"&amp;_xlfn.ISOWEEKNUM(Semaine_1[[#This Row],[Date]])</f>
        <v>S49</v>
      </c>
      <c r="P57" s="17" t="str">
        <f>TEXT(Semaine_1[[#This Row],[Date]],"MMMM")</f>
        <v>décembre</v>
      </c>
    </row>
    <row r="58" spans="1:16" ht="28.15" x14ac:dyDescent="0.45">
      <c r="A58" s="12">
        <v>45996</v>
      </c>
      <c r="B58" s="13" t="s">
        <v>24</v>
      </c>
      <c r="C58" s="13" t="s">
        <v>25</v>
      </c>
      <c r="D58" s="13" t="s">
        <v>26</v>
      </c>
      <c r="E58" s="13" t="s">
        <v>126</v>
      </c>
      <c r="F58" s="13">
        <v>775273147</v>
      </c>
      <c r="G58" s="13" t="s">
        <v>16</v>
      </c>
      <c r="H58" s="13" t="s">
        <v>13</v>
      </c>
      <c r="I58" s="13" t="s">
        <v>17</v>
      </c>
      <c r="J58" s="14" t="s">
        <v>127</v>
      </c>
      <c r="K58" s="13" t="s">
        <v>128</v>
      </c>
      <c r="L58" s="13">
        <v>25</v>
      </c>
      <c r="M58" s="15">
        <v>6000</v>
      </c>
      <c r="N58" s="15">
        <v>150000</v>
      </c>
      <c r="O58" s="16" t="str">
        <f>"S"&amp;_xlfn.ISOWEEKNUM(Semaine_1[[#This Row],[Date]])</f>
        <v>S49</v>
      </c>
      <c r="P58" s="17" t="str">
        <f>TEXT(Semaine_1[[#This Row],[Date]],"MMMM")</f>
        <v>décembre</v>
      </c>
    </row>
    <row r="59" spans="1:16" x14ac:dyDescent="0.45">
      <c r="A59" s="12">
        <v>45995</v>
      </c>
      <c r="B59" s="13" t="s">
        <v>51</v>
      </c>
      <c r="C59" s="13" t="s">
        <v>52</v>
      </c>
      <c r="D59" s="13" t="s">
        <v>129</v>
      </c>
      <c r="E59" s="13" t="s">
        <v>130</v>
      </c>
      <c r="F59" s="13">
        <v>777096402</v>
      </c>
      <c r="G59" s="13" t="s">
        <v>16</v>
      </c>
      <c r="H59" s="13" t="s">
        <v>13</v>
      </c>
      <c r="I59" s="13" t="s">
        <v>17</v>
      </c>
      <c r="J59" s="14" t="s">
        <v>58</v>
      </c>
      <c r="K59" s="13" t="s">
        <v>60</v>
      </c>
      <c r="L59" s="13">
        <v>25</v>
      </c>
      <c r="M59" s="15">
        <v>10500</v>
      </c>
      <c r="N59" s="15">
        <v>262500</v>
      </c>
      <c r="O59" s="16" t="str">
        <f>"S"&amp;_xlfn.ISOWEEKNUM(Semaine_1[[#This Row],[Date]])</f>
        <v>S49</v>
      </c>
      <c r="P59" s="17" t="str">
        <f>TEXT(Semaine_1[[#This Row],[Date]],"MMMM")</f>
        <v>décembre</v>
      </c>
    </row>
    <row r="60" spans="1:16" x14ac:dyDescent="0.45">
      <c r="A60" s="12">
        <v>45995</v>
      </c>
      <c r="B60" s="13" t="s">
        <v>45</v>
      </c>
      <c r="C60" s="13" t="s">
        <v>46</v>
      </c>
      <c r="D60" s="13" t="s">
        <v>77</v>
      </c>
      <c r="E60" s="13" t="s">
        <v>78</v>
      </c>
      <c r="F60" s="13">
        <v>779117863</v>
      </c>
      <c r="G60" s="13" t="s">
        <v>16</v>
      </c>
      <c r="H60" s="13" t="s">
        <v>13</v>
      </c>
      <c r="I60" s="13" t="s">
        <v>17</v>
      </c>
      <c r="J60" s="14" t="s">
        <v>21</v>
      </c>
      <c r="K60" s="13" t="s">
        <v>60</v>
      </c>
      <c r="L60" s="13">
        <v>1</v>
      </c>
      <c r="M60" s="15">
        <v>10500</v>
      </c>
      <c r="N60" s="15">
        <v>10500</v>
      </c>
      <c r="O60" s="16" t="str">
        <f>"S"&amp;_xlfn.ISOWEEKNUM(Semaine_1[[#This Row],[Date]])</f>
        <v>S49</v>
      </c>
      <c r="P60" s="17" t="str">
        <f>TEXT(Semaine_1[[#This Row],[Date]],"MMMM")</f>
        <v>décembre</v>
      </c>
    </row>
    <row r="61" spans="1:16" x14ac:dyDescent="0.45">
      <c r="A61" s="12">
        <v>45995</v>
      </c>
      <c r="B61" s="13" t="s">
        <v>45</v>
      </c>
      <c r="C61" s="13" t="s">
        <v>46</v>
      </c>
      <c r="D61" s="13" t="s">
        <v>77</v>
      </c>
      <c r="E61" s="13" t="s">
        <v>78</v>
      </c>
      <c r="F61" s="13">
        <v>779117863</v>
      </c>
      <c r="G61" s="13" t="s">
        <v>16</v>
      </c>
      <c r="H61" s="13" t="s">
        <v>13</v>
      </c>
      <c r="I61" s="13" t="s">
        <v>17</v>
      </c>
      <c r="J61" s="14" t="s">
        <v>21</v>
      </c>
      <c r="K61" s="13" t="s">
        <v>31</v>
      </c>
      <c r="L61" s="13">
        <v>1</v>
      </c>
      <c r="M61" s="15">
        <v>15500</v>
      </c>
      <c r="N61" s="15">
        <v>15500</v>
      </c>
      <c r="O61" s="16" t="str">
        <f>"S"&amp;_xlfn.ISOWEEKNUM(Semaine_1[[#This Row],[Date]])</f>
        <v>S49</v>
      </c>
      <c r="P61" s="17" t="str">
        <f>TEXT(Semaine_1[[#This Row],[Date]],"MMMM")</f>
        <v>décembre</v>
      </c>
    </row>
    <row r="62" spans="1:16" x14ac:dyDescent="0.45">
      <c r="A62" s="12">
        <v>45995</v>
      </c>
      <c r="B62" s="13" t="s">
        <v>45</v>
      </c>
      <c r="C62" s="13" t="s">
        <v>46</v>
      </c>
      <c r="D62" s="13" t="s">
        <v>77</v>
      </c>
      <c r="E62" s="13" t="s">
        <v>78</v>
      </c>
      <c r="F62" s="13">
        <v>779117863</v>
      </c>
      <c r="G62" s="13" t="s">
        <v>16</v>
      </c>
      <c r="H62" s="13" t="s">
        <v>13</v>
      </c>
      <c r="I62" s="13" t="s">
        <v>17</v>
      </c>
      <c r="J62" s="14" t="s">
        <v>21</v>
      </c>
      <c r="K62" s="13" t="s">
        <v>72</v>
      </c>
      <c r="L62" s="13">
        <v>31</v>
      </c>
      <c r="M62" s="15">
        <v>26000</v>
      </c>
      <c r="N62" s="15">
        <v>806000</v>
      </c>
      <c r="O62" s="16" t="str">
        <f>"S"&amp;_xlfn.ISOWEEKNUM(Semaine_1[[#This Row],[Date]])</f>
        <v>S49</v>
      </c>
      <c r="P62" s="17" t="str">
        <f>TEXT(Semaine_1[[#This Row],[Date]],"MMMM")</f>
        <v>décembre</v>
      </c>
    </row>
    <row r="63" spans="1:16" x14ac:dyDescent="0.45">
      <c r="A63" s="12">
        <v>45995</v>
      </c>
      <c r="B63" s="13" t="s">
        <v>34</v>
      </c>
      <c r="C63" s="13" t="s">
        <v>35</v>
      </c>
      <c r="D63" s="13" t="s">
        <v>131</v>
      </c>
      <c r="E63" s="13" t="s">
        <v>132</v>
      </c>
      <c r="F63" s="13">
        <v>766657313</v>
      </c>
      <c r="G63" s="13" t="s">
        <v>16</v>
      </c>
      <c r="H63" s="13" t="s">
        <v>13</v>
      </c>
      <c r="I63" s="13" t="s">
        <v>17</v>
      </c>
      <c r="J63" s="14" t="s">
        <v>39</v>
      </c>
      <c r="K63" s="13" t="s">
        <v>72</v>
      </c>
      <c r="L63" s="13">
        <v>25</v>
      </c>
      <c r="M63" s="15">
        <v>26000</v>
      </c>
      <c r="N63" s="15">
        <v>650000</v>
      </c>
      <c r="O63" s="16" t="str">
        <f>"S"&amp;_xlfn.ISOWEEKNUM(Semaine_1[[#This Row],[Date]])</f>
        <v>S49</v>
      </c>
      <c r="P63" s="17" t="str">
        <f>TEXT(Semaine_1[[#This Row],[Date]],"MMMM")</f>
        <v>décembre</v>
      </c>
    </row>
    <row r="64" spans="1:16" x14ac:dyDescent="0.45">
      <c r="A64" s="12">
        <v>45994</v>
      </c>
      <c r="B64" s="13" t="s">
        <v>51</v>
      </c>
      <c r="C64" s="13" t="s">
        <v>52</v>
      </c>
      <c r="D64" s="13" t="s">
        <v>133</v>
      </c>
      <c r="E64" s="13" t="s">
        <v>134</v>
      </c>
      <c r="F64" s="13">
        <v>781872421</v>
      </c>
      <c r="G64" s="13" t="s">
        <v>49</v>
      </c>
      <c r="H64" s="13" t="s">
        <v>13</v>
      </c>
      <c r="I64" s="13" t="s">
        <v>17</v>
      </c>
      <c r="J64" s="14" t="s">
        <v>58</v>
      </c>
      <c r="K64" s="13" t="s">
        <v>60</v>
      </c>
      <c r="L64" s="13">
        <v>2</v>
      </c>
      <c r="M64" s="15">
        <v>11500</v>
      </c>
      <c r="N64" s="15">
        <v>23000</v>
      </c>
      <c r="O64" s="16" t="str">
        <f>"S"&amp;_xlfn.ISOWEEKNUM(Semaine_1[[#This Row],[Date]])</f>
        <v>S49</v>
      </c>
      <c r="P64" s="17" t="str">
        <f>TEXT(Semaine_1[[#This Row],[Date]],"MMMM")</f>
        <v>décembre</v>
      </c>
    </row>
    <row r="65" spans="1:16" x14ac:dyDescent="0.45">
      <c r="A65" s="12">
        <v>45994</v>
      </c>
      <c r="B65" s="13" t="s">
        <v>51</v>
      </c>
      <c r="C65" s="13" t="s">
        <v>52</v>
      </c>
      <c r="D65" s="13" t="s">
        <v>129</v>
      </c>
      <c r="E65" s="13" t="s">
        <v>135</v>
      </c>
      <c r="F65" s="13">
        <v>772131614</v>
      </c>
      <c r="G65" s="13" t="s">
        <v>16</v>
      </c>
      <c r="H65" s="13" t="s">
        <v>13</v>
      </c>
      <c r="I65" s="13" t="s">
        <v>17</v>
      </c>
      <c r="J65" s="14" t="s">
        <v>58</v>
      </c>
      <c r="K65" s="13" t="s">
        <v>29</v>
      </c>
      <c r="L65" s="13">
        <v>25</v>
      </c>
      <c r="M65" s="15">
        <v>9750</v>
      </c>
      <c r="N65" s="15">
        <v>243750</v>
      </c>
      <c r="O65" s="16" t="str">
        <f>"S"&amp;_xlfn.ISOWEEKNUM(Semaine_1[[#This Row],[Date]])</f>
        <v>S49</v>
      </c>
      <c r="P65" s="17" t="str">
        <f>TEXT(Semaine_1[[#This Row],[Date]],"MMMM")</f>
        <v>décembre</v>
      </c>
    </row>
    <row r="66" spans="1:16" x14ac:dyDescent="0.45">
      <c r="A66" s="12">
        <v>45994</v>
      </c>
      <c r="B66" s="13" t="s">
        <v>51</v>
      </c>
      <c r="C66" s="13" t="s">
        <v>52</v>
      </c>
      <c r="D66" s="13" t="s">
        <v>129</v>
      </c>
      <c r="E66" s="13" t="s">
        <v>135</v>
      </c>
      <c r="F66" s="13">
        <v>772131614</v>
      </c>
      <c r="G66" s="13" t="s">
        <v>16</v>
      </c>
      <c r="H66" s="13" t="s">
        <v>13</v>
      </c>
      <c r="I66" s="13" t="s">
        <v>17</v>
      </c>
      <c r="J66" s="14" t="s">
        <v>58</v>
      </c>
      <c r="K66" s="13" t="s">
        <v>72</v>
      </c>
      <c r="L66" s="13">
        <v>25</v>
      </c>
      <c r="M66" s="15">
        <v>26000</v>
      </c>
      <c r="N66" s="15">
        <v>650000</v>
      </c>
      <c r="O66" s="16" t="str">
        <f>"S"&amp;_xlfn.ISOWEEKNUM(Semaine_1[[#This Row],[Date]])</f>
        <v>S49</v>
      </c>
      <c r="P66" s="17" t="str">
        <f>TEXT(Semaine_1[[#This Row],[Date]],"MMMM")</f>
        <v>décembre</v>
      </c>
    </row>
    <row r="67" spans="1:16" x14ac:dyDescent="0.45">
      <c r="A67" s="12">
        <v>45994</v>
      </c>
      <c r="B67" s="13" t="s">
        <v>51</v>
      </c>
      <c r="C67" s="13" t="s">
        <v>52</v>
      </c>
      <c r="D67" s="13" t="s">
        <v>133</v>
      </c>
      <c r="E67" s="13" t="s">
        <v>136</v>
      </c>
      <c r="F67" s="13">
        <v>773170826</v>
      </c>
      <c r="G67" s="13" t="s">
        <v>49</v>
      </c>
      <c r="H67" s="13" t="s">
        <v>13</v>
      </c>
      <c r="I67" s="13" t="s">
        <v>17</v>
      </c>
      <c r="J67" s="14" t="s">
        <v>58</v>
      </c>
      <c r="K67" s="13" t="s">
        <v>32</v>
      </c>
      <c r="L67" s="13">
        <v>1</v>
      </c>
      <c r="M67" s="15">
        <v>19500</v>
      </c>
      <c r="N67" s="15">
        <v>19500</v>
      </c>
      <c r="O67" s="16" t="str">
        <f>"S"&amp;_xlfn.ISOWEEKNUM(Semaine_1[[#This Row],[Date]])</f>
        <v>S49</v>
      </c>
      <c r="P67" s="17" t="str">
        <f>TEXT(Semaine_1[[#This Row],[Date]],"MMMM")</f>
        <v>décembre</v>
      </c>
    </row>
    <row r="68" spans="1:16" x14ac:dyDescent="0.45">
      <c r="A68" s="12">
        <v>45994</v>
      </c>
      <c r="B68" s="13" t="s">
        <v>51</v>
      </c>
      <c r="C68" s="13" t="s">
        <v>52</v>
      </c>
      <c r="D68" s="13" t="s">
        <v>133</v>
      </c>
      <c r="E68" s="13" t="s">
        <v>137</v>
      </c>
      <c r="F68" s="13">
        <v>338643675</v>
      </c>
      <c r="G68" s="13" t="s">
        <v>16</v>
      </c>
      <c r="H68" s="13" t="s">
        <v>13</v>
      </c>
      <c r="I68" s="13" t="s">
        <v>17</v>
      </c>
      <c r="J68" s="14" t="s">
        <v>138</v>
      </c>
      <c r="K68" s="13" t="s">
        <v>29</v>
      </c>
      <c r="L68" s="13">
        <v>1</v>
      </c>
      <c r="M68" s="15">
        <v>9750</v>
      </c>
      <c r="N68" s="15">
        <v>9750</v>
      </c>
      <c r="O68" s="16" t="str">
        <f>"S"&amp;_xlfn.ISOWEEKNUM(Semaine_1[[#This Row],[Date]])</f>
        <v>S49</v>
      </c>
      <c r="P68" s="17" t="str">
        <f>TEXT(Semaine_1[[#This Row],[Date]],"MMMM")</f>
        <v>décembre</v>
      </c>
    </row>
    <row r="69" spans="1:16" x14ac:dyDescent="0.45">
      <c r="A69" s="12">
        <v>45994</v>
      </c>
      <c r="B69" s="13" t="s">
        <v>51</v>
      </c>
      <c r="C69" s="13" t="s">
        <v>52</v>
      </c>
      <c r="D69" s="13" t="s">
        <v>133</v>
      </c>
      <c r="E69" s="13" t="s">
        <v>137</v>
      </c>
      <c r="F69" s="13">
        <v>338643675</v>
      </c>
      <c r="G69" s="13" t="s">
        <v>16</v>
      </c>
      <c r="H69" s="13" t="s">
        <v>13</v>
      </c>
      <c r="I69" s="13" t="s">
        <v>17</v>
      </c>
      <c r="J69" s="14" t="s">
        <v>138</v>
      </c>
      <c r="K69" s="13" t="s">
        <v>32</v>
      </c>
      <c r="L69" s="13">
        <v>1</v>
      </c>
      <c r="M69" s="15">
        <v>19500</v>
      </c>
      <c r="N69" s="15">
        <v>19500</v>
      </c>
      <c r="O69" s="16" t="str">
        <f>"S"&amp;_xlfn.ISOWEEKNUM(Semaine_1[[#This Row],[Date]])</f>
        <v>S49</v>
      </c>
      <c r="P69" s="17" t="str">
        <f>TEXT(Semaine_1[[#This Row],[Date]],"MMMM")</f>
        <v>décembre</v>
      </c>
    </row>
    <row r="70" spans="1:16" x14ac:dyDescent="0.45">
      <c r="A70" s="12">
        <v>45994</v>
      </c>
      <c r="B70" s="13" t="s">
        <v>14</v>
      </c>
      <c r="C70" s="13" t="s">
        <v>15</v>
      </c>
      <c r="D70" s="13" t="s">
        <v>139</v>
      </c>
      <c r="E70" s="13" t="s">
        <v>140</v>
      </c>
      <c r="F70" s="13">
        <v>773661109</v>
      </c>
      <c r="G70" s="13" t="s">
        <v>16</v>
      </c>
      <c r="H70" s="13" t="s">
        <v>13</v>
      </c>
      <c r="I70" s="13" t="s">
        <v>17</v>
      </c>
      <c r="J70" s="14" t="s">
        <v>17</v>
      </c>
      <c r="K70" s="13" t="s">
        <v>29</v>
      </c>
      <c r="L70" s="13">
        <v>2</v>
      </c>
      <c r="M70" s="15">
        <v>9750</v>
      </c>
      <c r="N70" s="15">
        <v>19500</v>
      </c>
      <c r="O70" s="16" t="str">
        <f>"S"&amp;_xlfn.ISOWEEKNUM(Semaine_1[[#This Row],[Date]])</f>
        <v>S49</v>
      </c>
      <c r="P70" s="17" t="str">
        <f>TEXT(Semaine_1[[#This Row],[Date]],"MMMM")</f>
        <v>décembre</v>
      </c>
    </row>
    <row r="71" spans="1:16" x14ac:dyDescent="0.45">
      <c r="A71" s="12">
        <v>45994</v>
      </c>
      <c r="B71" s="13" t="s">
        <v>14</v>
      </c>
      <c r="C71" s="13" t="s">
        <v>15</v>
      </c>
      <c r="D71" s="13" t="s">
        <v>139</v>
      </c>
      <c r="E71" s="13" t="s">
        <v>140</v>
      </c>
      <c r="F71" s="13">
        <v>773661109</v>
      </c>
      <c r="G71" s="13" t="s">
        <v>16</v>
      </c>
      <c r="H71" s="13" t="s">
        <v>13</v>
      </c>
      <c r="I71" s="13" t="s">
        <v>17</v>
      </c>
      <c r="J71" s="14" t="s">
        <v>17</v>
      </c>
      <c r="K71" s="13" t="s">
        <v>141</v>
      </c>
      <c r="L71" s="13">
        <v>2</v>
      </c>
      <c r="M71" s="15">
        <v>33500</v>
      </c>
      <c r="N71" s="15">
        <v>67000</v>
      </c>
      <c r="O71" s="16" t="str">
        <f>"S"&amp;_xlfn.ISOWEEKNUM(Semaine_1[[#This Row],[Date]])</f>
        <v>S49</v>
      </c>
      <c r="P71" s="17" t="str">
        <f>TEXT(Semaine_1[[#This Row],[Date]],"MMMM")</f>
        <v>décembre</v>
      </c>
    </row>
    <row r="72" spans="1:16" x14ac:dyDescent="0.45">
      <c r="A72" s="12">
        <v>45994</v>
      </c>
      <c r="B72" s="13" t="s">
        <v>88</v>
      </c>
      <c r="C72" s="13" t="s">
        <v>89</v>
      </c>
      <c r="D72" s="13" t="s">
        <v>124</v>
      </c>
      <c r="E72" s="13" t="s">
        <v>142</v>
      </c>
      <c r="F72" s="13">
        <v>781282357</v>
      </c>
      <c r="G72" s="13" t="s">
        <v>16</v>
      </c>
      <c r="H72" s="13" t="s">
        <v>13</v>
      </c>
      <c r="I72" s="13" t="s">
        <v>17</v>
      </c>
      <c r="J72" s="14" t="s">
        <v>21</v>
      </c>
      <c r="K72" s="13" t="s">
        <v>72</v>
      </c>
      <c r="L72" s="13">
        <v>100</v>
      </c>
      <c r="M72" s="15">
        <v>26000</v>
      </c>
      <c r="N72" s="15">
        <v>2600000</v>
      </c>
      <c r="O72" s="16" t="str">
        <f>"S"&amp;_xlfn.ISOWEEKNUM(Semaine_1[[#This Row],[Date]])</f>
        <v>S49</v>
      </c>
      <c r="P72" s="17" t="str">
        <f>TEXT(Semaine_1[[#This Row],[Date]],"MMMM")</f>
        <v>décembre</v>
      </c>
    </row>
    <row r="73" spans="1:16" x14ac:dyDescent="0.45">
      <c r="A73" s="12">
        <v>45994</v>
      </c>
      <c r="B73" s="13" t="s">
        <v>88</v>
      </c>
      <c r="C73" s="13" t="s">
        <v>89</v>
      </c>
      <c r="D73" s="13" t="s">
        <v>143</v>
      </c>
      <c r="E73" s="13" t="s">
        <v>144</v>
      </c>
      <c r="F73" s="13">
        <v>771952687</v>
      </c>
      <c r="G73" s="13" t="s">
        <v>16</v>
      </c>
      <c r="H73" s="13" t="s">
        <v>13</v>
      </c>
      <c r="I73" s="13" t="s">
        <v>17</v>
      </c>
      <c r="J73" s="14" t="s">
        <v>21</v>
      </c>
      <c r="K73" s="13" t="s">
        <v>68</v>
      </c>
      <c r="L73" s="13">
        <v>50</v>
      </c>
      <c r="M73" s="15">
        <v>30000</v>
      </c>
      <c r="N73" s="15">
        <v>1500000</v>
      </c>
      <c r="O73" s="16" t="str">
        <f>"S"&amp;_xlfn.ISOWEEKNUM(Semaine_1[[#This Row],[Date]])</f>
        <v>S49</v>
      </c>
      <c r="P73" s="17" t="str">
        <f>TEXT(Semaine_1[[#This Row],[Date]],"MMMM")</f>
        <v>décembre</v>
      </c>
    </row>
    <row r="74" spans="1:16" x14ac:dyDescent="0.45">
      <c r="A74" s="12">
        <v>45994</v>
      </c>
      <c r="B74" s="13" t="s">
        <v>14</v>
      </c>
      <c r="C74" s="13" t="s">
        <v>15</v>
      </c>
      <c r="D74" s="13" t="s">
        <v>139</v>
      </c>
      <c r="E74" s="13" t="s">
        <v>145</v>
      </c>
      <c r="F74" s="13">
        <v>773199049</v>
      </c>
      <c r="G74" s="13" t="s">
        <v>16</v>
      </c>
      <c r="H74" s="13" t="s">
        <v>13</v>
      </c>
      <c r="I74" s="13" t="s">
        <v>17</v>
      </c>
      <c r="J74" s="14" t="s">
        <v>17</v>
      </c>
      <c r="K74" s="13" t="s">
        <v>128</v>
      </c>
      <c r="L74" s="13">
        <v>25</v>
      </c>
      <c r="M74" s="15">
        <v>6000</v>
      </c>
      <c r="N74" s="15">
        <v>150000</v>
      </c>
      <c r="O74" s="16" t="str">
        <f>"S"&amp;_xlfn.ISOWEEKNUM(Semaine_1[[#This Row],[Date]])</f>
        <v>S49</v>
      </c>
      <c r="P74" s="17" t="str">
        <f>TEXT(Semaine_1[[#This Row],[Date]],"MMMM")</f>
        <v>décembre</v>
      </c>
    </row>
    <row r="75" spans="1:16" ht="28.15" x14ac:dyDescent="0.45">
      <c r="A75" s="12">
        <v>45993</v>
      </c>
      <c r="B75" s="13" t="s">
        <v>34</v>
      </c>
      <c r="C75" s="13" t="s">
        <v>35</v>
      </c>
      <c r="D75" s="13" t="s">
        <v>69</v>
      </c>
      <c r="E75" s="13" t="s">
        <v>146</v>
      </c>
      <c r="F75" s="13">
        <v>775740574</v>
      </c>
      <c r="G75" s="13" t="s">
        <v>16</v>
      </c>
      <c r="H75" s="13" t="s">
        <v>13</v>
      </c>
      <c r="I75" s="13" t="s">
        <v>17</v>
      </c>
      <c r="J75" s="14" t="s">
        <v>147</v>
      </c>
      <c r="K75" s="13" t="s">
        <v>68</v>
      </c>
      <c r="L75" s="13">
        <v>50</v>
      </c>
      <c r="M75" s="15">
        <v>30000</v>
      </c>
      <c r="N75" s="15">
        <v>1500000</v>
      </c>
      <c r="O75" s="16" t="str">
        <f>"S"&amp;_xlfn.ISOWEEKNUM(Semaine_1[[#This Row],[Date]])</f>
        <v>S49</v>
      </c>
      <c r="P75" s="17" t="str">
        <f>TEXT(Semaine_1[[#This Row],[Date]],"MMMM")</f>
        <v>décembre</v>
      </c>
    </row>
    <row r="76" spans="1:16" x14ac:dyDescent="0.45">
      <c r="A76" s="12">
        <v>45993</v>
      </c>
      <c r="B76" s="13" t="s">
        <v>14</v>
      </c>
      <c r="C76" s="13" t="s">
        <v>15</v>
      </c>
      <c r="D76" s="13" t="s">
        <v>28</v>
      </c>
      <c r="E76" s="13" t="s">
        <v>148</v>
      </c>
      <c r="F76" s="13">
        <v>777638400</v>
      </c>
      <c r="G76" s="13" t="s">
        <v>49</v>
      </c>
      <c r="H76" s="13" t="s">
        <v>13</v>
      </c>
      <c r="I76" s="13" t="s">
        <v>17</v>
      </c>
      <c r="J76" s="14" t="s">
        <v>149</v>
      </c>
      <c r="K76" s="13" t="s">
        <v>41</v>
      </c>
      <c r="L76" s="13">
        <v>3</v>
      </c>
      <c r="M76" s="15">
        <v>15500</v>
      </c>
      <c r="N76" s="15">
        <v>46500</v>
      </c>
      <c r="O76" s="16" t="str">
        <f>"S"&amp;_xlfn.ISOWEEKNUM(Semaine_1[[#This Row],[Date]])</f>
        <v>S49</v>
      </c>
      <c r="P76" s="17" t="str">
        <f>TEXT(Semaine_1[[#This Row],[Date]],"MMMM")</f>
        <v>décembre</v>
      </c>
    </row>
    <row r="77" spans="1:16" x14ac:dyDescent="0.45">
      <c r="A77" s="12">
        <v>45993</v>
      </c>
      <c r="B77" s="13" t="s">
        <v>14</v>
      </c>
      <c r="C77" s="13" t="s">
        <v>15</v>
      </c>
      <c r="D77" s="13" t="s">
        <v>28</v>
      </c>
      <c r="E77" s="13" t="s">
        <v>148</v>
      </c>
      <c r="F77" s="13">
        <v>777638400</v>
      </c>
      <c r="G77" s="13" t="s">
        <v>49</v>
      </c>
      <c r="H77" s="13" t="s">
        <v>13</v>
      </c>
      <c r="I77" s="13" t="s">
        <v>17</v>
      </c>
      <c r="J77" s="14" t="s">
        <v>149</v>
      </c>
      <c r="K77" s="13" t="s">
        <v>31</v>
      </c>
      <c r="L77" s="13">
        <v>5</v>
      </c>
      <c r="M77" s="15">
        <v>15500</v>
      </c>
      <c r="N77" s="15">
        <v>77500</v>
      </c>
      <c r="O77" s="16" t="str">
        <f>"S"&amp;_xlfn.ISOWEEKNUM(Semaine_1[[#This Row],[Date]])</f>
        <v>S49</v>
      </c>
      <c r="P77" s="17" t="str">
        <f>TEXT(Semaine_1[[#This Row],[Date]],"MMMM")</f>
        <v>décembre</v>
      </c>
    </row>
    <row r="78" spans="1:16" x14ac:dyDescent="0.45">
      <c r="A78" s="12">
        <v>45993</v>
      </c>
      <c r="B78" s="13" t="s">
        <v>88</v>
      </c>
      <c r="C78" s="13" t="s">
        <v>89</v>
      </c>
      <c r="D78" s="13" t="s">
        <v>113</v>
      </c>
      <c r="E78" s="13" t="s">
        <v>150</v>
      </c>
      <c r="F78" s="13">
        <v>774245132</v>
      </c>
      <c r="G78" s="13" t="s">
        <v>16</v>
      </c>
      <c r="H78" s="13" t="s">
        <v>13</v>
      </c>
      <c r="I78" s="13" t="s">
        <v>17</v>
      </c>
      <c r="J78" s="14" t="s">
        <v>21</v>
      </c>
      <c r="K78" s="13" t="s">
        <v>72</v>
      </c>
      <c r="L78" s="13">
        <v>25</v>
      </c>
      <c r="M78" s="15">
        <v>26000</v>
      </c>
      <c r="N78" s="15">
        <v>650000</v>
      </c>
      <c r="O78" s="16" t="str">
        <f>"S"&amp;_xlfn.ISOWEEKNUM(Semaine_1[[#This Row],[Date]])</f>
        <v>S49</v>
      </c>
      <c r="P78" s="17" t="str">
        <f>TEXT(Semaine_1[[#This Row],[Date]],"MMMM")</f>
        <v>décembre</v>
      </c>
    </row>
    <row r="79" spans="1:16" x14ac:dyDescent="0.45">
      <c r="A79" s="12">
        <v>45993</v>
      </c>
      <c r="B79" s="13" t="s">
        <v>51</v>
      </c>
      <c r="C79" s="13" t="s">
        <v>52</v>
      </c>
      <c r="D79" s="13" t="s">
        <v>61</v>
      </c>
      <c r="E79" s="13" t="s">
        <v>151</v>
      </c>
      <c r="F79" s="13">
        <v>775538380</v>
      </c>
      <c r="G79" s="13" t="s">
        <v>16</v>
      </c>
      <c r="H79" s="13" t="s">
        <v>13</v>
      </c>
      <c r="I79" s="13" t="s">
        <v>17</v>
      </c>
      <c r="J79" s="14" t="s">
        <v>138</v>
      </c>
      <c r="K79" s="13" t="s">
        <v>29</v>
      </c>
      <c r="L79" s="13">
        <v>2</v>
      </c>
      <c r="M79" s="15">
        <v>9750</v>
      </c>
      <c r="N79" s="15">
        <v>19500</v>
      </c>
      <c r="O79" s="16" t="str">
        <f>"S"&amp;_xlfn.ISOWEEKNUM(Semaine_1[[#This Row],[Date]])</f>
        <v>S49</v>
      </c>
      <c r="P79" s="17" t="str">
        <f>TEXT(Semaine_1[[#This Row],[Date]],"MMMM")</f>
        <v>décembre</v>
      </c>
    </row>
    <row r="80" spans="1:16" x14ac:dyDescent="0.45">
      <c r="A80" s="12">
        <v>45993</v>
      </c>
      <c r="B80" s="13" t="s">
        <v>51</v>
      </c>
      <c r="C80" s="13" t="s">
        <v>52</v>
      </c>
      <c r="D80" s="13" t="s">
        <v>61</v>
      </c>
      <c r="E80" s="13" t="s">
        <v>152</v>
      </c>
      <c r="F80" s="13">
        <v>776367168</v>
      </c>
      <c r="G80" s="13" t="s">
        <v>16</v>
      </c>
      <c r="H80" s="13" t="s">
        <v>13</v>
      </c>
      <c r="I80" s="13" t="s">
        <v>17</v>
      </c>
      <c r="J80" s="14" t="s">
        <v>58</v>
      </c>
      <c r="K80" s="13" t="s">
        <v>72</v>
      </c>
      <c r="L80" s="13">
        <v>32</v>
      </c>
      <c r="M80" s="15">
        <v>26000</v>
      </c>
      <c r="N80" s="15">
        <v>832000</v>
      </c>
      <c r="O80" s="16" t="str">
        <f>"S"&amp;_xlfn.ISOWEEKNUM(Semaine_1[[#This Row],[Date]])</f>
        <v>S49</v>
      </c>
      <c r="P80" s="17" t="str">
        <f>TEXT(Semaine_1[[#This Row],[Date]],"MMMM")</f>
        <v>décembre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2025-12-07T00:26:10Z</dcterms:modified>
</cp:coreProperties>
</file>