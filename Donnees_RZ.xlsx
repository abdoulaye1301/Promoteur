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D1E380B-5190-4F60-A924-6CAE0445BCA7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1" i="2" l="1"/>
  <c r="P91" i="2"/>
  <c r="O89" i="2"/>
  <c r="O90" i="2"/>
  <c r="P89" i="2"/>
  <c r="P90" i="2"/>
  <c r="O88" i="2"/>
  <c r="P88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<sst xmlns="http://schemas.openxmlformats.org/spreadsheetml/2006/main" count="813" uniqueCount="165">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</sst>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91" totalsRowShown="0" headerRowDxfId="18" headerRowBorderDxfId="17" tableBorderDxfId="16">
  <autoFilter ref="A1:P9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91"/>
  <sheetViews>
    <sheetView tabSelected="1" topLeftCell="F67" zoomScale="79" zoomScaleNormal="79" workbookViewId="0">
      <selection activeCell="A74" sqref="A74:N9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21">
        <v>46224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36</v>
      </c>
      <c r="L74">
        <v>25</v>
      </c>
      <c r="M74">
        <v>19500</v>
      </c>
      <c r="N74">
        <v>487500</v>
      </c>
      <c r="O74" s="19" t="str">
        <f>"S"&amp;_xlfn.ISOWEEKNUM(Semaine_1[[#This Row],[Date]])</f>
        <v>S30</v>
      </c>
      <c r="P74" s="20" t="str">
        <f>TEXT(Semaine_1[[#This Row],[Date]],"MMMM")</f>
        <v>juillet</v>
      </c>
    </row>
    <row r="75" spans="1:16" ht="28.15" x14ac:dyDescent="0.45">
      <c r="A75" s="15">
        <v>46227</v>
      </c>
      <c r="B75" s="16" t="s">
        <v>43</v>
      </c>
      <c r="C75" s="16" t="s">
        <v>27</v>
      </c>
      <c r="D75" s="16" t="s">
        <v>122</v>
      </c>
      <c r="E75" s="16" t="s">
        <v>145</v>
      </c>
      <c r="F75" s="17">
        <v>786323232</v>
      </c>
      <c r="G75" s="16" t="s">
        <v>15</v>
      </c>
      <c r="H75" s="16" t="s">
        <v>13</v>
      </c>
      <c r="I75" s="16" t="s">
        <v>16</v>
      </c>
      <c r="J75" s="16"/>
      <c r="K75" s="16" t="s">
        <v>56</v>
      </c>
      <c r="L75" s="16">
        <v>10</v>
      </c>
      <c r="M75" s="18">
        <v>9000</v>
      </c>
      <c r="N75" s="18">
        <v>90000</v>
      </c>
      <c r="O75" s="19" t="str">
        <f>"S"&amp;_xlfn.ISOWEEKNUM(Semaine_1[[#This Row],[Date]])</f>
        <v>S30</v>
      </c>
      <c r="P75" s="20" t="str">
        <f>TEXT(Semaine_1[[#This Row],[Date]],"MMMM")</f>
        <v>juillet</v>
      </c>
    </row>
    <row r="76" spans="1:16" x14ac:dyDescent="0.45">
      <c r="A76" s="15">
        <v>46227</v>
      </c>
      <c r="B76" s="16" t="s">
        <v>33</v>
      </c>
      <c r="C76" s="16" t="s">
        <v>29</v>
      </c>
      <c r="D76" s="16" t="s">
        <v>146</v>
      </c>
      <c r="E76" s="16" t="s">
        <v>147</v>
      </c>
      <c r="F76" s="17">
        <v>782357233</v>
      </c>
      <c r="G76" s="16" t="s">
        <v>148</v>
      </c>
      <c r="H76" s="16" t="s">
        <v>13</v>
      </c>
      <c r="I76" s="16" t="s">
        <v>16</v>
      </c>
      <c r="J76" s="16" t="s">
        <v>73</v>
      </c>
      <c r="K76" s="16" t="s">
        <v>58</v>
      </c>
      <c r="L76" s="16">
        <v>1</v>
      </c>
      <c r="M76" s="18">
        <v>15500</v>
      </c>
      <c r="N76" s="18">
        <v>15500</v>
      </c>
      <c r="O76" s="19" t="str">
        <f>"S"&amp;_xlfn.ISOWEEKNUM(Semaine_1[[#This Row],[Date]])</f>
        <v>S30</v>
      </c>
      <c r="P76" s="20" t="str">
        <f>TEXT(Semaine_1[[#This Row],[Date]],"MMMM")</f>
        <v>juillet</v>
      </c>
    </row>
    <row r="77" spans="1:16" x14ac:dyDescent="0.45">
      <c r="A77" s="15">
        <v>46227</v>
      </c>
      <c r="B77" s="16" t="s">
        <v>33</v>
      </c>
      <c r="C77" s="16" t="s">
        <v>29</v>
      </c>
      <c r="D77" s="16" t="s">
        <v>146</v>
      </c>
      <c r="E77" s="16" t="s">
        <v>147</v>
      </c>
      <c r="F77" s="17">
        <v>782357233</v>
      </c>
      <c r="G77" s="16" t="s">
        <v>148</v>
      </c>
      <c r="H77" s="16" t="s">
        <v>13</v>
      </c>
      <c r="I77" s="16" t="s">
        <v>16</v>
      </c>
      <c r="J77" s="16" t="s">
        <v>73</v>
      </c>
      <c r="K77" s="16" t="s">
        <v>149</v>
      </c>
      <c r="L77" s="16">
        <v>1</v>
      </c>
      <c r="M77" s="18">
        <v>12500</v>
      </c>
      <c r="N77" s="18">
        <v>12500</v>
      </c>
      <c r="O77" s="19" t="str">
        <f>"S"&amp;_xlfn.ISOWEEKNUM(Semaine_1[[#This Row],[Date]])</f>
        <v>S30</v>
      </c>
      <c r="P77" s="20" t="str">
        <f>TEXT(Semaine_1[[#This Row],[Date]],"MMMM")</f>
        <v>juillet</v>
      </c>
    </row>
    <row r="78" spans="1:16" x14ac:dyDescent="0.45">
      <c r="A78" s="15">
        <v>46227</v>
      </c>
      <c r="B78" s="16" t="s">
        <v>33</v>
      </c>
      <c r="C78" s="16" t="s">
        <v>29</v>
      </c>
      <c r="D78" s="16" t="s">
        <v>146</v>
      </c>
      <c r="E78" s="16" t="s">
        <v>147</v>
      </c>
      <c r="F78" s="17">
        <v>782357233</v>
      </c>
      <c r="G78" s="16" t="s">
        <v>148</v>
      </c>
      <c r="H78" s="16" t="s">
        <v>13</v>
      </c>
      <c r="I78" s="16" t="s">
        <v>16</v>
      </c>
      <c r="J78" s="16" t="s">
        <v>73</v>
      </c>
      <c r="K78" s="16" t="s">
        <v>38</v>
      </c>
      <c r="L78" s="16">
        <v>5</v>
      </c>
      <c r="M78" s="18">
        <v>9000</v>
      </c>
      <c r="N78" s="18">
        <v>45000</v>
      </c>
      <c r="O78" s="19" t="str">
        <f>"S"&amp;_xlfn.ISOWEEKNUM(Semaine_1[[#This Row],[Date]])</f>
        <v>S30</v>
      </c>
      <c r="P78" s="20" t="str">
        <f>TEXT(Semaine_1[[#This Row],[Date]],"MMMM")</f>
        <v>juillet</v>
      </c>
    </row>
    <row r="79" spans="1:16" x14ac:dyDescent="0.45">
      <c r="A79" s="15">
        <v>46227</v>
      </c>
      <c r="B79" s="16" t="s">
        <v>33</v>
      </c>
      <c r="C79" s="16" t="s">
        <v>29</v>
      </c>
      <c r="D79" s="16" t="s">
        <v>146</v>
      </c>
      <c r="E79" s="16" t="s">
        <v>150</v>
      </c>
      <c r="F79" s="17">
        <v>775276149</v>
      </c>
      <c r="G79" s="16" t="s">
        <v>15</v>
      </c>
      <c r="H79" s="16" t="s">
        <v>13</v>
      </c>
      <c r="I79" s="16" t="s">
        <v>16</v>
      </c>
      <c r="J79" s="16" t="s">
        <v>73</v>
      </c>
      <c r="K79" s="16" t="s">
        <v>149</v>
      </c>
      <c r="L79" s="16">
        <v>2</v>
      </c>
      <c r="M79" s="18">
        <v>12500</v>
      </c>
      <c r="N79" s="18">
        <v>25000</v>
      </c>
      <c r="O79" s="19" t="str">
        <f>"S"&amp;_xlfn.ISOWEEKNUM(Semaine_1[[#This Row],[Date]])</f>
        <v>S30</v>
      </c>
      <c r="P79" s="20" t="str">
        <f>TEXT(Semaine_1[[#This Row],[Date]],"MMMM")</f>
        <v>juillet</v>
      </c>
    </row>
    <row r="80" spans="1:16" x14ac:dyDescent="0.45">
      <c r="A80" s="15">
        <v>46227</v>
      </c>
      <c r="B80" s="16" t="s">
        <v>33</v>
      </c>
      <c r="C80" s="16" t="s">
        <v>29</v>
      </c>
      <c r="D80" s="16" t="s">
        <v>146</v>
      </c>
      <c r="E80" s="16" t="s">
        <v>150</v>
      </c>
      <c r="F80" s="17">
        <v>775276149</v>
      </c>
      <c r="G80" s="16" t="s">
        <v>15</v>
      </c>
      <c r="H80" s="16" t="s">
        <v>13</v>
      </c>
      <c r="I80" s="16" t="s">
        <v>16</v>
      </c>
      <c r="J80" s="16" t="s">
        <v>73</v>
      </c>
      <c r="K80" s="16" t="s">
        <v>151</v>
      </c>
      <c r="L80" s="16">
        <v>3</v>
      </c>
      <c r="M80" s="18">
        <v>12500</v>
      </c>
      <c r="N80" s="18">
        <v>37500</v>
      </c>
      <c r="O80" s="19" t="str">
        <f>"S"&amp;_xlfn.ISOWEEKNUM(Semaine_1[[#This Row],[Date]])</f>
        <v>S30</v>
      </c>
      <c r="P80" s="20" t="str">
        <f>TEXT(Semaine_1[[#This Row],[Date]],"MMMM")</f>
        <v>juillet</v>
      </c>
    </row>
    <row r="81" spans="1:16" x14ac:dyDescent="0.45">
      <c r="A81" s="15">
        <v>46227</v>
      </c>
      <c r="B81" s="16" t="s">
        <v>33</v>
      </c>
      <c r="C81" s="16" t="s">
        <v>29</v>
      </c>
      <c r="D81" s="16" t="s">
        <v>146</v>
      </c>
      <c r="E81" s="16" t="s">
        <v>150</v>
      </c>
      <c r="F81" s="17">
        <v>775276149</v>
      </c>
      <c r="G81" s="16" t="s">
        <v>15</v>
      </c>
      <c r="H81" s="16" t="s">
        <v>13</v>
      </c>
      <c r="I81" s="16" t="s">
        <v>16</v>
      </c>
      <c r="J81" s="16" t="s">
        <v>73</v>
      </c>
      <c r="K81" s="16" t="s">
        <v>152</v>
      </c>
      <c r="L81" s="16">
        <v>50</v>
      </c>
      <c r="M81" s="18">
        <v>5500</v>
      </c>
      <c r="N81" s="18">
        <v>275000</v>
      </c>
      <c r="O81" s="19" t="str">
        <f>"S"&amp;_xlfn.ISOWEEKNUM(Semaine_1[[#This Row],[Date]])</f>
        <v>S30</v>
      </c>
      <c r="P81" s="20" t="str">
        <f>TEXT(Semaine_1[[#This Row],[Date]],"MMMM")</f>
        <v>juillet</v>
      </c>
    </row>
    <row r="82" spans="1:16" ht="28.15" x14ac:dyDescent="0.45">
      <c r="A82" s="15">
        <v>46226</v>
      </c>
      <c r="B82" s="16" t="s">
        <v>45</v>
      </c>
      <c r="C82" s="16" t="s">
        <v>39</v>
      </c>
      <c r="D82" s="16" t="s">
        <v>46</v>
      </c>
      <c r="E82" s="16" t="s">
        <v>153</v>
      </c>
      <c r="F82" s="17">
        <v>783942599</v>
      </c>
      <c r="G82" s="16" t="s">
        <v>15</v>
      </c>
      <c r="H82" s="16" t="s">
        <v>13</v>
      </c>
      <c r="I82" s="16" t="s">
        <v>16</v>
      </c>
      <c r="J82" s="16" t="s">
        <v>154</v>
      </c>
      <c r="K82" s="16" t="s">
        <v>38</v>
      </c>
      <c r="L82" s="16">
        <v>20</v>
      </c>
      <c r="M82" s="18">
        <v>9000</v>
      </c>
      <c r="N82" s="18">
        <v>180000</v>
      </c>
      <c r="O82" s="19" t="str">
        <f>"S"&amp;_xlfn.ISOWEEKNUM(Semaine_1[[#This Row],[Date]])</f>
        <v>S30</v>
      </c>
      <c r="P82" s="20" t="str">
        <f>TEXT(Semaine_1[[#This Row],[Date]],"MMMM")</f>
        <v>juillet</v>
      </c>
    </row>
    <row r="83" spans="1:16" ht="28.15" x14ac:dyDescent="0.45">
      <c r="A83" s="15">
        <v>46226</v>
      </c>
      <c r="B83" s="16" t="s">
        <v>45</v>
      </c>
      <c r="C83" s="16" t="s">
        <v>39</v>
      </c>
      <c r="D83" s="16" t="s">
        <v>46</v>
      </c>
      <c r="E83" s="16" t="s">
        <v>153</v>
      </c>
      <c r="F83" s="17">
        <v>783942599</v>
      </c>
      <c r="G83" s="16" t="s">
        <v>15</v>
      </c>
      <c r="H83" s="16" t="s">
        <v>13</v>
      </c>
      <c r="I83" s="16" t="s">
        <v>16</v>
      </c>
      <c r="J83" s="16" t="s">
        <v>154</v>
      </c>
      <c r="K83" s="16" t="s">
        <v>56</v>
      </c>
      <c r="L83" s="16">
        <v>35</v>
      </c>
      <c r="M83" s="18">
        <v>9000</v>
      </c>
      <c r="N83" s="18">
        <v>315000</v>
      </c>
      <c r="O83" s="19" t="str">
        <f>"S"&amp;_xlfn.ISOWEEKNUM(Semaine_1[[#This Row],[Date]])</f>
        <v>S30</v>
      </c>
      <c r="P83" s="20" t="str">
        <f>TEXT(Semaine_1[[#This Row],[Date]],"MMMM")</f>
        <v>juillet</v>
      </c>
    </row>
    <row r="84" spans="1:16" ht="28.15" x14ac:dyDescent="0.45">
      <c r="A84" s="15">
        <v>46226</v>
      </c>
      <c r="B84" s="16" t="s">
        <v>34</v>
      </c>
      <c r="C84" s="16" t="s">
        <v>21</v>
      </c>
      <c r="D84" s="16" t="s">
        <v>155</v>
      </c>
      <c r="E84" s="16" t="s">
        <v>156</v>
      </c>
      <c r="F84" s="17">
        <v>773101818</v>
      </c>
      <c r="G84" s="16" t="s">
        <v>15</v>
      </c>
      <c r="H84" s="16" t="s">
        <v>13</v>
      </c>
      <c r="I84" s="16" t="s">
        <v>16</v>
      </c>
      <c r="J84" s="16" t="s">
        <v>73</v>
      </c>
      <c r="K84" s="16" t="s">
        <v>26</v>
      </c>
      <c r="L84" s="16">
        <v>100</v>
      </c>
      <c r="M84" s="18">
        <v>26000</v>
      </c>
      <c r="N84" s="18">
        <v>2600000</v>
      </c>
      <c r="O84" s="19" t="str">
        <f>"S"&amp;_xlfn.ISOWEEKNUM(Semaine_1[[#This Row],[Date]])</f>
        <v>S30</v>
      </c>
      <c r="P84" s="20" t="str">
        <f>TEXT(Semaine_1[[#This Row],[Date]],"MMMM")</f>
        <v>juillet</v>
      </c>
    </row>
    <row r="85" spans="1:16" ht="28.15" x14ac:dyDescent="0.45">
      <c r="A85" s="15">
        <v>46226</v>
      </c>
      <c r="B85" s="16" t="s">
        <v>45</v>
      </c>
      <c r="C85" s="16" t="s">
        <v>39</v>
      </c>
      <c r="D85" s="16" t="s">
        <v>88</v>
      </c>
      <c r="E85" s="16" t="s">
        <v>157</v>
      </c>
      <c r="F85" s="17">
        <v>763030898</v>
      </c>
      <c r="G85" s="16" t="s">
        <v>15</v>
      </c>
      <c r="H85" s="16" t="s">
        <v>13</v>
      </c>
      <c r="I85" s="16" t="s">
        <v>16</v>
      </c>
      <c r="J85" s="16" t="s">
        <v>154</v>
      </c>
      <c r="K85" s="16" t="s">
        <v>26</v>
      </c>
      <c r="L85" s="16">
        <v>25</v>
      </c>
      <c r="M85" s="18">
        <v>26000</v>
      </c>
      <c r="N85" s="18">
        <v>650000</v>
      </c>
      <c r="O85" s="19" t="str">
        <f>"S"&amp;_xlfn.ISOWEEKNUM(Semaine_1[[#This Row],[Date]])</f>
        <v>S30</v>
      </c>
      <c r="P85" s="20" t="str">
        <f>TEXT(Semaine_1[[#This Row],[Date]],"MMMM")</f>
        <v>juillet</v>
      </c>
    </row>
    <row r="86" spans="1:16" x14ac:dyDescent="0.45">
      <c r="A86" s="15">
        <v>46225</v>
      </c>
      <c r="B86" s="16" t="s">
        <v>33</v>
      </c>
      <c r="C86" s="16" t="s">
        <v>29</v>
      </c>
      <c r="D86" s="16" t="s">
        <v>47</v>
      </c>
      <c r="E86" s="16" t="s">
        <v>158</v>
      </c>
      <c r="F86" s="17">
        <v>774624747</v>
      </c>
      <c r="G86" s="16" t="s">
        <v>15</v>
      </c>
      <c r="H86" s="16" t="s">
        <v>13</v>
      </c>
      <c r="I86" s="16" t="s">
        <v>16</v>
      </c>
      <c r="J86" s="16" t="s">
        <v>73</v>
      </c>
      <c r="K86" s="16" t="s">
        <v>38</v>
      </c>
      <c r="L86" s="16">
        <v>10</v>
      </c>
      <c r="M86" s="18">
        <v>9000</v>
      </c>
      <c r="N86" s="18">
        <v>90000</v>
      </c>
      <c r="O86" s="19" t="str">
        <f>"S"&amp;_xlfn.ISOWEEKNUM(Semaine_1[[#This Row],[Date]])</f>
        <v>S30</v>
      </c>
      <c r="P86" s="20" t="str">
        <f>TEXT(Semaine_1[[#This Row],[Date]],"MMMM")</f>
        <v>juillet</v>
      </c>
    </row>
    <row r="87" spans="1:16" x14ac:dyDescent="0.45">
      <c r="A87" s="15">
        <v>46225</v>
      </c>
      <c r="B87" s="16" t="s">
        <v>33</v>
      </c>
      <c r="C87" s="16" t="s">
        <v>29</v>
      </c>
      <c r="D87" s="16" t="s">
        <v>47</v>
      </c>
      <c r="E87" s="16" t="s">
        <v>159</v>
      </c>
      <c r="F87" s="17">
        <v>775485563</v>
      </c>
      <c r="G87" s="16" t="s">
        <v>15</v>
      </c>
      <c r="H87" s="16" t="s">
        <v>13</v>
      </c>
      <c r="I87" s="16" t="s">
        <v>16</v>
      </c>
      <c r="J87" s="16" t="s">
        <v>73</v>
      </c>
      <c r="K87" s="16" t="s">
        <v>38</v>
      </c>
      <c r="L87" s="16">
        <v>20</v>
      </c>
      <c r="M87" s="18">
        <v>9000</v>
      </c>
      <c r="N87" s="18">
        <v>180000</v>
      </c>
      <c r="O87" s="19" t="str">
        <f>"S"&amp;_xlfn.ISOWEEKNUM(Semaine_1[[#This Row],[Date]])</f>
        <v>S30</v>
      </c>
      <c r="P87" s="20" t="str">
        <f>TEXT(Semaine_1[[#This Row],[Date]],"MMMM")</f>
        <v>juillet</v>
      </c>
    </row>
    <row r="88" spans="1:16" ht="28.15" x14ac:dyDescent="0.45">
      <c r="A88" s="15">
        <v>46224</v>
      </c>
      <c r="B88" s="16" t="s">
        <v>42</v>
      </c>
      <c r="C88" s="16" t="s">
        <v>22</v>
      </c>
      <c r="D88" s="16" t="s">
        <v>30</v>
      </c>
      <c r="E88" s="16" t="s">
        <v>160</v>
      </c>
      <c r="F88" s="17">
        <v>779646150</v>
      </c>
      <c r="G88" s="16" t="s">
        <v>15</v>
      </c>
      <c r="H88" s="16" t="s">
        <v>13</v>
      </c>
      <c r="I88" s="16" t="s">
        <v>16</v>
      </c>
      <c r="J88" s="16" t="s">
        <v>73</v>
      </c>
      <c r="K88" s="16" t="s">
        <v>64</v>
      </c>
      <c r="L88" s="16">
        <v>25</v>
      </c>
      <c r="M88" s="18">
        <v>28000</v>
      </c>
      <c r="N88" s="18">
        <v>700000</v>
      </c>
      <c r="O88" s="19" t="str">
        <f>"S"&amp;_xlfn.ISOWEEKNUM(Semaine_1[[#This Row],[Date]])</f>
        <v>S30</v>
      </c>
      <c r="P88" s="20" t="str">
        <f>TEXT(Semaine_1[[#This Row],[Date]],"MMMM")</f>
        <v>juillet</v>
      </c>
    </row>
    <row r="89" spans="1:16" ht="28.15" x14ac:dyDescent="0.45">
      <c r="A89" s="15">
        <v>46223</v>
      </c>
      <c r="B89" s="16" t="s">
        <v>45</v>
      </c>
      <c r="C89" s="16" t="s">
        <v>39</v>
      </c>
      <c r="D89" s="16" t="s">
        <v>161</v>
      </c>
      <c r="E89" s="16" t="s">
        <v>162</v>
      </c>
      <c r="F89" s="17">
        <v>776327767</v>
      </c>
      <c r="G89" s="16" t="s">
        <v>23</v>
      </c>
      <c r="H89" s="16" t="s">
        <v>13</v>
      </c>
      <c r="I89" s="16" t="s">
        <v>16</v>
      </c>
      <c r="J89" s="16" t="s">
        <v>154</v>
      </c>
      <c r="K89" s="16" t="s">
        <v>26</v>
      </c>
      <c r="L89" s="16">
        <v>25</v>
      </c>
      <c r="M89" s="18">
        <v>26000</v>
      </c>
      <c r="N89" s="18">
        <v>650000</v>
      </c>
      <c r="O89" s="19" t="str">
        <f>"S"&amp;_xlfn.ISOWEEKNUM(Semaine_1[[#This Row],[Date]])</f>
        <v>S30</v>
      </c>
      <c r="P89" s="20" t="str">
        <f>TEXT(Semaine_1[[#This Row],[Date]],"MMMM")</f>
        <v>juillet</v>
      </c>
    </row>
    <row r="90" spans="1:16" ht="28.15" x14ac:dyDescent="0.45">
      <c r="A90" s="15">
        <v>46223</v>
      </c>
      <c r="B90" s="16" t="s">
        <v>42</v>
      </c>
      <c r="C90" s="16" t="s">
        <v>22</v>
      </c>
      <c r="D90" s="16" t="s">
        <v>66</v>
      </c>
      <c r="E90" s="16" t="s">
        <v>111</v>
      </c>
      <c r="F90" s="17">
        <v>783682649</v>
      </c>
      <c r="G90" s="16" t="s">
        <v>15</v>
      </c>
      <c r="H90" s="16" t="s">
        <v>13</v>
      </c>
      <c r="I90" s="16" t="s">
        <v>16</v>
      </c>
      <c r="J90" s="16" t="s">
        <v>73</v>
      </c>
      <c r="K90" s="16" t="s">
        <v>36</v>
      </c>
      <c r="L90" s="16">
        <v>25</v>
      </c>
      <c r="M90" s="18">
        <v>19000</v>
      </c>
      <c r="N90" s="18">
        <v>475000</v>
      </c>
      <c r="O90" s="19" t="str">
        <f>"S"&amp;_xlfn.ISOWEEKNUM(Semaine_1[[#This Row],[Date]])</f>
        <v>S30</v>
      </c>
      <c r="P90" s="20" t="str">
        <f>TEXT(Semaine_1[[#This Row],[Date]],"MMMM")</f>
        <v>juillet</v>
      </c>
    </row>
    <row r="91" spans="1:16" ht="28.15" x14ac:dyDescent="0.45">
      <c r="A91" s="15">
        <v>46224</v>
      </c>
      <c r="B91" s="16" t="s">
        <v>33</v>
      </c>
      <c r="C91" s="16" t="s">
        <v>29</v>
      </c>
      <c r="D91" s="16" t="s">
        <v>47</v>
      </c>
      <c r="E91" s="16" t="s">
        <v>163</v>
      </c>
      <c r="F91" s="17">
        <v>779661523</v>
      </c>
      <c r="G91" s="16" t="s">
        <v>15</v>
      </c>
      <c r="H91" s="16" t="s">
        <v>13</v>
      </c>
      <c r="I91" s="16" t="s">
        <v>16</v>
      </c>
      <c r="J91" s="16" t="s">
        <v>164</v>
      </c>
      <c r="K91" s="16" t="s">
        <v>26</v>
      </c>
      <c r="L91" s="16">
        <v>25</v>
      </c>
      <c r="M91" s="18">
        <v>26000</v>
      </c>
      <c r="N91" s="18">
        <v>650000</v>
      </c>
      <c r="O91" s="19" t="str">
        <f>"S"&amp;_xlfn.ISOWEEKNUM(Semaine_1[[#This Row],[Date]])</f>
        <v>S30</v>
      </c>
      <c r="P91" s="20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2026-07-27T01:24:16Z</dcterms:modified>
</cp:coreProperties>
</file>