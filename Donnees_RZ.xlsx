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057DDBA3-F215-47C8-B986-BF3DB7E5908C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8" i="2" l="1"/>
  <c r="P48" i="2"/>
  <c r="O47" i="2"/>
  <c r="P47" i="2"/>
  <c r="O46" i="2"/>
  <c r="P46" i="2"/>
  <c r="O44" i="2"/>
  <c r="O45" i="2"/>
  <c r="P44" i="2"/>
  <c r="P45" i="2"/>
  <c r="O42" i="2"/>
  <c r="O43" i="2"/>
  <c r="P42" i="2"/>
  <c r="P43" i="2"/>
  <c r="O41" i="2"/>
  <c r="P41" i="2"/>
  <c r="O39" i="2"/>
  <c r="O40" i="2"/>
  <c r="P39" i="2"/>
  <c r="P40" i="2"/>
  <c r="O27" i="2"/>
  <c r="O28" i="2"/>
  <c r="O29" i="2"/>
  <c r="O30" i="2"/>
  <c r="O31" i="2"/>
  <c r="O32" i="2"/>
  <c r="O33" i="2"/>
  <c r="O34" i="2"/>
  <c r="O35" i="2"/>
  <c r="O36" i="2"/>
  <c r="O37" i="2"/>
  <c r="O38" i="2"/>
  <c r="P27" i="2"/>
  <c r="P28" i="2"/>
  <c r="P29" i="2"/>
  <c r="P30" i="2"/>
  <c r="P31" i="2"/>
  <c r="P32" i="2"/>
  <c r="P33" i="2"/>
  <c r="P34" i="2"/>
  <c r="P35" i="2"/>
  <c r="P36" i="2"/>
  <c r="P37" i="2"/>
  <c r="P38" i="2"/>
  <c r="O2" i="2"/>
  <c r="P2" i="2"/>
  <c r="O3" i="2"/>
  <c r="P3" i="2"/>
  <c r="O4" i="2"/>
  <c r="P4" i="2"/>
  <c r="O5" i="2"/>
  <c r="P5" i="2"/>
  <c r="O6" i="2"/>
  <c r="P6" i="2"/>
  <c r="O7" i="2"/>
  <c r="P7" i="2"/>
  <c r="O8" i="2"/>
  <c r="P8" i="2"/>
  <c r="O9" i="2"/>
  <c r="P9" i="2"/>
  <c r="O10" i="2"/>
  <c r="P10" i="2"/>
  <c r="O11" i="2"/>
  <c r="P11" i="2"/>
  <c r="O12" i="2"/>
  <c r="P12" i="2"/>
  <c r="O13" i="2"/>
  <c r="P13" i="2"/>
  <c r="O14" i="2"/>
  <c r="P14" i="2"/>
  <c r="O15" i="2"/>
  <c r="P15" i="2"/>
  <c r="O16" i="2"/>
  <c r="P16" i="2"/>
  <c r="O17" i="2"/>
  <c r="P17" i="2"/>
  <c r="O18" i="2"/>
  <c r="P18" i="2"/>
  <c r="O19" i="2"/>
  <c r="P19" i="2"/>
  <c r="O20" i="2"/>
  <c r="P20" i="2"/>
  <c r="O21" i="2"/>
  <c r="P21" i="2"/>
  <c r="O22" i="2"/>
  <c r="P22" i="2"/>
  <c r="O23" i="2"/>
  <c r="P23" i="2"/>
  <c r="O24" i="2"/>
  <c r="P24" i="2"/>
  <c r="O25" i="2"/>
  <c r="P25" i="2"/>
  <c r="O26" i="2"/>
  <c r="P26" i="2"/>
</calcChain>
</file>

<file path=xl/sharedStrings.xml><?xml version="1.0" encoding="utf-8"?>
<sst xmlns="http://schemas.openxmlformats.org/spreadsheetml/2006/main" count="434" uniqueCount="111">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</sst>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48" totalsRowShown="0" headerRowDxfId="18" headerRowBorderDxfId="17" tableBorderDxfId="16">
  <autoFilter ref="A1:P48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48"/>
  <sheetViews>
    <sheetView tabSelected="1" topLeftCell="F25" zoomScale="79" zoomScaleNormal="79" workbookViewId="0">
      <selection activeCell="J43" sqref="J4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ht="28.15" x14ac:dyDescent="0.45">
      <c r="A2" s="8">
        <v>46204</v>
      </c>
      <c r="B2" s="9" t="s">
        <v>43</v>
      </c>
      <c r="C2" s="9" t="s">
        <v>27</v>
      </c>
      <c r="D2" s="9" t="s">
        <v>48</v>
      </c>
      <c r="E2" s="9" t="s">
        <v>78</v>
      </c>
      <c r="F2" s="10" t="s">
        <v>79</v>
      </c>
      <c r="G2" s="9" t="s">
        <v>23</v>
      </c>
      <c r="H2" s="9" t="s">
        <v>13</v>
      </c>
      <c r="I2" s="9" t="s">
        <v>16</v>
      </c>
      <c r="J2" s="9"/>
      <c r="K2" s="9" t="s">
        <v>26</v>
      </c>
      <c r="L2" s="9">
        <v>50</v>
      </c>
      <c r="M2" s="11">
        <v>26000</v>
      </c>
      <c r="N2" s="11">
        <v>1300000</v>
      </c>
      <c r="O2" s="7" t="str">
        <f>"S"&amp;_xlfn.ISOWEEKNUM(Semaine_1[[#This Row],[Date]])</f>
        <v>S27</v>
      </c>
      <c r="P2" t="str">
        <f>TEXT(Semaine_1[[#This Row],[Date]],"MMMM")</f>
        <v>juillet</v>
      </c>
    </row>
    <row r="3" spans="1:16" x14ac:dyDescent="0.45">
      <c r="A3" s="8">
        <v>46206</v>
      </c>
      <c r="B3" s="9" t="s">
        <v>41</v>
      </c>
      <c r="C3" s="9" t="s">
        <v>24</v>
      </c>
      <c r="D3" s="9" t="s">
        <v>25</v>
      </c>
      <c r="E3" s="9" t="s">
        <v>35</v>
      </c>
      <c r="F3" s="10">
        <v>775544532</v>
      </c>
      <c r="G3" s="9" t="s">
        <v>23</v>
      </c>
      <c r="H3" s="9" t="s">
        <v>13</v>
      </c>
      <c r="I3" s="9" t="s">
        <v>16</v>
      </c>
      <c r="J3" s="9" t="s">
        <v>73</v>
      </c>
      <c r="K3" s="9" t="s">
        <v>26</v>
      </c>
      <c r="L3" s="9">
        <v>25</v>
      </c>
      <c r="M3" s="11">
        <v>26000</v>
      </c>
      <c r="N3" s="11">
        <v>650000</v>
      </c>
      <c r="O3" s="7" t="str">
        <f>"S"&amp;_xlfn.ISOWEEKNUM(Semaine_1[[#This Row],[Date]])</f>
        <v>S27</v>
      </c>
      <c r="P3" t="str">
        <f>TEXT(Semaine_1[[#This Row],[Date]],"MMMM")</f>
        <v>juillet</v>
      </c>
    </row>
    <row r="4" spans="1:16" ht="28.15" x14ac:dyDescent="0.45">
      <c r="A4" s="8">
        <v>46206</v>
      </c>
      <c r="B4" s="9" t="s">
        <v>45</v>
      </c>
      <c r="C4" s="9" t="s">
        <v>39</v>
      </c>
      <c r="D4" s="9" t="s">
        <v>46</v>
      </c>
      <c r="E4" s="9" t="s">
        <v>31</v>
      </c>
      <c r="F4" s="10">
        <v>779235028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56</v>
      </c>
      <c r="L4" s="9">
        <v>55</v>
      </c>
      <c r="M4" s="11">
        <v>9000</v>
      </c>
      <c r="N4" s="11">
        <v>495000</v>
      </c>
      <c r="O4" s="7" t="str">
        <f>"S"&amp;_xlfn.ISOWEEKNUM(Semaine_1[[#This Row],[Date]])</f>
        <v>S27</v>
      </c>
      <c r="P4" t="str">
        <f>TEXT(Semaine_1[[#This Row],[Date]],"MMMM")</f>
        <v>juillet</v>
      </c>
    </row>
    <row r="5" spans="1:16" ht="28.15" x14ac:dyDescent="0.45">
      <c r="A5" s="8">
        <v>46206</v>
      </c>
      <c r="B5" s="9" t="s">
        <v>34</v>
      </c>
      <c r="C5" s="9" t="s">
        <v>21</v>
      </c>
      <c r="D5" s="9" t="s">
        <v>51</v>
      </c>
      <c r="E5" s="9" t="s">
        <v>54</v>
      </c>
      <c r="F5" s="10">
        <v>776862787</v>
      </c>
      <c r="G5" s="9" t="s">
        <v>23</v>
      </c>
      <c r="H5" s="9" t="s">
        <v>13</v>
      </c>
      <c r="I5" s="9" t="s">
        <v>16</v>
      </c>
      <c r="J5" s="9" t="s">
        <v>73</v>
      </c>
      <c r="K5" s="9" t="s">
        <v>26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S27</v>
      </c>
      <c r="P5" t="str">
        <f>TEXT(Semaine_1[[#This Row],[Date]],"MMMM")</f>
        <v>juillet</v>
      </c>
    </row>
    <row r="6" spans="1:16" x14ac:dyDescent="0.45">
      <c r="A6" s="8">
        <v>46204</v>
      </c>
      <c r="B6" s="9" t="s">
        <v>33</v>
      </c>
      <c r="C6" s="9" t="s">
        <v>29</v>
      </c>
      <c r="D6" s="9" t="s">
        <v>29</v>
      </c>
      <c r="E6" s="9" t="s">
        <v>80</v>
      </c>
      <c r="F6" s="10">
        <v>773482683</v>
      </c>
      <c r="G6" s="9" t="s">
        <v>23</v>
      </c>
      <c r="H6" s="9" t="s">
        <v>13</v>
      </c>
      <c r="I6" s="9" t="s">
        <v>16</v>
      </c>
      <c r="J6" s="9" t="s">
        <v>73</v>
      </c>
      <c r="K6" s="9" t="s">
        <v>56</v>
      </c>
      <c r="L6" s="9">
        <v>10</v>
      </c>
      <c r="M6" s="11">
        <v>9000</v>
      </c>
      <c r="N6" s="11">
        <v>90000</v>
      </c>
      <c r="O6" s="7" t="str">
        <f>"S"&amp;_xlfn.ISOWEEKNUM(Semaine_1[[#This Row],[Date]])</f>
        <v>S27</v>
      </c>
      <c r="P6" t="str">
        <f>TEXT(Semaine_1[[#This Row],[Date]],"MMMM")</f>
        <v>juillet</v>
      </c>
    </row>
    <row r="7" spans="1:16" ht="28.15" x14ac:dyDescent="0.45">
      <c r="A7" s="8">
        <v>46204</v>
      </c>
      <c r="B7" s="9" t="s">
        <v>34</v>
      </c>
      <c r="C7" s="9" t="s">
        <v>21</v>
      </c>
      <c r="D7" s="9" t="s">
        <v>51</v>
      </c>
      <c r="E7" s="9" t="s">
        <v>54</v>
      </c>
      <c r="F7" s="10">
        <v>776862787</v>
      </c>
      <c r="G7" s="9" t="s">
        <v>23</v>
      </c>
      <c r="H7" s="9" t="s">
        <v>13</v>
      </c>
      <c r="I7" s="9" t="s">
        <v>16</v>
      </c>
      <c r="J7" s="9" t="s">
        <v>73</v>
      </c>
      <c r="K7" s="9" t="s">
        <v>36</v>
      </c>
      <c r="L7" s="9">
        <v>5</v>
      </c>
      <c r="M7" s="11">
        <v>19500</v>
      </c>
      <c r="N7" s="11">
        <v>97500</v>
      </c>
      <c r="O7" s="7" t="str">
        <f>"S"&amp;_xlfn.ISOWEEKNUM(Semaine_1[[#This Row],[Date]])</f>
        <v>S27</v>
      </c>
      <c r="P7" t="str">
        <f>TEXT(Semaine_1[[#This Row],[Date]],"MMMM")</f>
        <v>juillet</v>
      </c>
    </row>
    <row r="8" spans="1:16" x14ac:dyDescent="0.45">
      <c r="A8" s="8">
        <v>46204</v>
      </c>
      <c r="B8" s="9" t="s">
        <v>41</v>
      </c>
      <c r="C8" s="9" t="s">
        <v>24</v>
      </c>
      <c r="D8" s="9" t="s">
        <v>81</v>
      </c>
      <c r="E8" s="9" t="s">
        <v>82</v>
      </c>
      <c r="F8" s="10">
        <v>776058374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38</v>
      </c>
      <c r="L8" s="9">
        <v>25</v>
      </c>
      <c r="M8" s="11">
        <v>9000</v>
      </c>
      <c r="N8" s="11">
        <v>225000</v>
      </c>
      <c r="O8" s="7" t="str">
        <f>"S"&amp;_xlfn.ISOWEEKNUM(Semaine_1[[#This Row],[Date]])</f>
        <v>S27</v>
      </c>
      <c r="P8" t="str">
        <f>TEXT(Semaine_1[[#This Row],[Date]],"MMMM")</f>
        <v>juillet</v>
      </c>
    </row>
    <row r="9" spans="1:16" ht="28.15" x14ac:dyDescent="0.45">
      <c r="A9" s="8">
        <v>46204</v>
      </c>
      <c r="B9" s="9" t="s">
        <v>43</v>
      </c>
      <c r="C9" s="9" t="s">
        <v>27</v>
      </c>
      <c r="D9" s="9" t="s">
        <v>48</v>
      </c>
      <c r="E9" s="9" t="s">
        <v>49</v>
      </c>
      <c r="F9" s="10">
        <v>775586819</v>
      </c>
      <c r="G9" s="9" t="s">
        <v>23</v>
      </c>
      <c r="H9" s="9" t="s">
        <v>13</v>
      </c>
      <c r="I9" s="9" t="s">
        <v>16</v>
      </c>
      <c r="J9" s="9"/>
      <c r="K9" s="9" t="s">
        <v>26</v>
      </c>
      <c r="L9" s="9">
        <v>25</v>
      </c>
      <c r="M9" s="11">
        <v>26000</v>
      </c>
      <c r="N9" s="11">
        <v>650000</v>
      </c>
      <c r="O9" s="7" t="str">
        <f>"S"&amp;_xlfn.ISOWEEKNUM(Semaine_1[[#This Row],[Date]])</f>
        <v>S27</v>
      </c>
      <c r="P9" t="str">
        <f>TEXT(Semaine_1[[#This Row],[Date]],"MMMM")</f>
        <v>juillet</v>
      </c>
    </row>
    <row r="10" spans="1:16" x14ac:dyDescent="0.45">
      <c r="A10" s="8">
        <v>46204</v>
      </c>
      <c r="B10" s="9" t="s">
        <v>41</v>
      </c>
      <c r="C10" s="9" t="s">
        <v>24</v>
      </c>
      <c r="D10" s="9" t="s">
        <v>61</v>
      </c>
      <c r="E10" s="9" t="s">
        <v>62</v>
      </c>
      <c r="F10" s="10">
        <v>772131614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36</v>
      </c>
      <c r="L10" s="9">
        <v>1</v>
      </c>
      <c r="M10" s="11">
        <v>19500</v>
      </c>
      <c r="N10" s="11">
        <v>19500</v>
      </c>
      <c r="O10" s="7" t="str">
        <f>"S"&amp;_xlfn.ISOWEEKNUM(Semaine_1[[#This Row],[Date]])</f>
        <v>S27</v>
      </c>
      <c r="P10" t="str">
        <f>TEXT(Semaine_1[[#This Row],[Date]],"MMMM")</f>
        <v>juillet</v>
      </c>
    </row>
    <row r="11" spans="1:16" ht="28.15" x14ac:dyDescent="0.45">
      <c r="A11" s="8">
        <v>46204</v>
      </c>
      <c r="B11" s="9" t="s">
        <v>41</v>
      </c>
      <c r="C11" s="9" t="s">
        <v>24</v>
      </c>
      <c r="D11" s="9" t="s">
        <v>61</v>
      </c>
      <c r="E11" s="9" t="s">
        <v>62</v>
      </c>
      <c r="F11" s="10">
        <v>772131614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53</v>
      </c>
      <c r="L11" s="9">
        <v>1</v>
      </c>
      <c r="M11" s="11">
        <v>15000</v>
      </c>
      <c r="N11" s="11">
        <v>15000</v>
      </c>
      <c r="O11" s="7" t="str">
        <f>"S"&amp;_xlfn.ISOWEEKNUM(Semaine_1[[#This Row],[Date]])</f>
        <v>S27</v>
      </c>
      <c r="P11" t="str">
        <f>TEXT(Semaine_1[[#This Row],[Date]],"MMMM")</f>
        <v>juillet</v>
      </c>
    </row>
    <row r="12" spans="1:16" ht="28.15" x14ac:dyDescent="0.45">
      <c r="A12" s="8">
        <v>46203</v>
      </c>
      <c r="B12" s="9" t="s">
        <v>43</v>
      </c>
      <c r="C12" s="9" t="s">
        <v>27</v>
      </c>
      <c r="D12" s="9" t="s">
        <v>63</v>
      </c>
      <c r="E12" s="9" t="s">
        <v>77</v>
      </c>
      <c r="F12" s="10">
        <v>775171537</v>
      </c>
      <c r="G12" s="9" t="s">
        <v>15</v>
      </c>
      <c r="H12" s="9" t="s">
        <v>13</v>
      </c>
      <c r="I12" s="9" t="s">
        <v>16</v>
      </c>
      <c r="J12" s="9"/>
      <c r="K12" s="9" t="s">
        <v>36</v>
      </c>
      <c r="L12" s="9">
        <v>100</v>
      </c>
      <c r="M12" s="11">
        <v>19000</v>
      </c>
      <c r="N12" s="11">
        <v>1900000</v>
      </c>
      <c r="O12" s="7" t="str">
        <f>"S"&amp;_xlfn.ISOWEEKNUM(Semaine_1[[#This Row],[Date]])</f>
        <v>S27</v>
      </c>
      <c r="P12" t="str">
        <f>TEXT(Semaine_1[[#This Row],[Date]],"MMMM")</f>
        <v>juin</v>
      </c>
    </row>
    <row r="13" spans="1:16" x14ac:dyDescent="0.45">
      <c r="A13" s="8">
        <v>46202</v>
      </c>
      <c r="B13" s="9" t="s">
        <v>33</v>
      </c>
      <c r="C13" s="9" t="s">
        <v>29</v>
      </c>
      <c r="D13" s="9" t="s">
        <v>47</v>
      </c>
      <c r="E13" s="9" t="s">
        <v>83</v>
      </c>
      <c r="F13" s="10">
        <v>774927422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26</v>
      </c>
      <c r="L13" s="9">
        <v>25</v>
      </c>
      <c r="M13" s="11">
        <v>26000</v>
      </c>
      <c r="N13" s="11">
        <v>650000</v>
      </c>
      <c r="O13" s="7" t="str">
        <f>"S"&amp;_xlfn.ISOWEEKNUM(Semaine_1[[#This Row],[Date]])</f>
        <v>S27</v>
      </c>
      <c r="P13" t="str">
        <f>TEXT(Semaine_1[[#This Row],[Date]],"MMMM")</f>
        <v>juin</v>
      </c>
    </row>
    <row r="14" spans="1:16" ht="28.15" x14ac:dyDescent="0.45">
      <c r="A14" s="8">
        <v>46202</v>
      </c>
      <c r="B14" s="9" t="s">
        <v>43</v>
      </c>
      <c r="C14" s="9" t="s">
        <v>27</v>
      </c>
      <c r="D14" s="9" t="s">
        <v>28</v>
      </c>
      <c r="E14" s="9" t="s">
        <v>44</v>
      </c>
      <c r="F14" s="10">
        <v>776149093</v>
      </c>
      <c r="G14" s="9" t="s">
        <v>23</v>
      </c>
      <c r="H14" s="9" t="s">
        <v>13</v>
      </c>
      <c r="I14" s="9" t="s">
        <v>16</v>
      </c>
      <c r="J14" s="9"/>
      <c r="K14" s="9" t="s">
        <v>32</v>
      </c>
      <c r="L14" s="9">
        <v>30</v>
      </c>
      <c r="M14" s="11">
        <v>6000</v>
      </c>
      <c r="N14" s="11">
        <v>180000</v>
      </c>
      <c r="O14" s="7" t="str">
        <f>"S"&amp;_xlfn.ISOWEEKNUM(Semaine_1[[#This Row],[Date]])</f>
        <v>S27</v>
      </c>
      <c r="P14" t="str">
        <f>TEXT(Semaine_1[[#This Row],[Date]],"MMMM")</f>
        <v>juin</v>
      </c>
    </row>
    <row r="15" spans="1:16" ht="28.15" x14ac:dyDescent="0.45">
      <c r="A15" s="8">
        <v>46202</v>
      </c>
      <c r="B15" s="9" t="s">
        <v>43</v>
      </c>
      <c r="C15" s="9" t="s">
        <v>27</v>
      </c>
      <c r="D15" s="9" t="s">
        <v>59</v>
      </c>
      <c r="E15" s="9" t="s">
        <v>84</v>
      </c>
      <c r="F15" s="10">
        <v>762974040</v>
      </c>
      <c r="G15" s="9" t="s">
        <v>15</v>
      </c>
      <c r="H15" s="9" t="s">
        <v>13</v>
      </c>
      <c r="I15" s="9" t="s">
        <v>16</v>
      </c>
      <c r="J15" s="9"/>
      <c r="K15" s="9" t="s">
        <v>26</v>
      </c>
      <c r="L15" s="9">
        <v>25</v>
      </c>
      <c r="M15" s="11">
        <v>26000</v>
      </c>
      <c r="N15" s="11">
        <v>650000</v>
      </c>
      <c r="O15" s="7" t="str">
        <f>"S"&amp;_xlfn.ISOWEEKNUM(Semaine_1[[#This Row],[Date]])</f>
        <v>S27</v>
      </c>
      <c r="P15" t="str">
        <f>TEXT(Semaine_1[[#This Row],[Date]],"MMMM")</f>
        <v>juin</v>
      </c>
    </row>
    <row r="16" spans="1:16" x14ac:dyDescent="0.45">
      <c r="A16" s="8">
        <v>46206</v>
      </c>
      <c r="B16" s="9" t="s">
        <v>33</v>
      </c>
      <c r="C16" s="9" t="s">
        <v>29</v>
      </c>
      <c r="D16" s="9" t="s">
        <v>60</v>
      </c>
      <c r="E16" s="9" t="s">
        <v>85</v>
      </c>
      <c r="F16" s="10">
        <v>774289051</v>
      </c>
      <c r="G16" s="9" t="s">
        <v>15</v>
      </c>
      <c r="H16" s="9" t="s">
        <v>13</v>
      </c>
      <c r="I16" s="9" t="s">
        <v>16</v>
      </c>
      <c r="J16" s="9" t="s">
        <v>55</v>
      </c>
      <c r="K16" s="9" t="s">
        <v>26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S27</v>
      </c>
      <c r="P16" t="str">
        <f>TEXT(Semaine_1[[#This Row],[Date]],"MMMM")</f>
        <v>juillet</v>
      </c>
    </row>
    <row r="17" spans="1:16" ht="55.9" x14ac:dyDescent="0.45">
      <c r="A17" s="8">
        <v>46206</v>
      </c>
      <c r="B17" s="9" t="s">
        <v>42</v>
      </c>
      <c r="C17" s="9" t="s">
        <v>22</v>
      </c>
      <c r="D17" s="9" t="s">
        <v>30</v>
      </c>
      <c r="E17" s="9" t="s">
        <v>86</v>
      </c>
      <c r="F17" s="10">
        <v>778657940</v>
      </c>
      <c r="G17" s="9" t="s">
        <v>15</v>
      </c>
      <c r="H17" s="9" t="s">
        <v>13</v>
      </c>
      <c r="I17" s="9" t="s">
        <v>16</v>
      </c>
      <c r="J17" s="9" t="s">
        <v>87</v>
      </c>
      <c r="K17" s="9" t="s">
        <v>26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S27</v>
      </c>
      <c r="P17" t="str">
        <f>TEXT(Semaine_1[[#This Row],[Date]],"MMMM")</f>
        <v>juillet</v>
      </c>
    </row>
    <row r="18" spans="1:16" ht="28.15" x14ac:dyDescent="0.45">
      <c r="A18" s="8">
        <v>46205</v>
      </c>
      <c r="B18" s="9" t="s">
        <v>45</v>
      </c>
      <c r="C18" s="9" t="s">
        <v>39</v>
      </c>
      <c r="D18" s="9" t="s">
        <v>88</v>
      </c>
      <c r="E18" s="9" t="s">
        <v>89</v>
      </c>
      <c r="F18" s="10" t="s">
        <v>90</v>
      </c>
      <c r="G18" s="9" t="s">
        <v>23</v>
      </c>
      <c r="H18" s="9" t="s">
        <v>13</v>
      </c>
      <c r="I18" s="9" t="s">
        <v>16</v>
      </c>
      <c r="J18" s="9" t="s">
        <v>20</v>
      </c>
      <c r="K18" s="9" t="s">
        <v>69</v>
      </c>
      <c r="L18" s="9">
        <v>5</v>
      </c>
      <c r="M18" s="11">
        <v>12000</v>
      </c>
      <c r="N18" s="11">
        <v>60000</v>
      </c>
      <c r="O18" s="7" t="str">
        <f>"S"&amp;_xlfn.ISOWEEKNUM(Semaine_1[[#This Row],[Date]])</f>
        <v>S27</v>
      </c>
      <c r="P18" t="str">
        <f>TEXT(Semaine_1[[#This Row],[Date]],"MMMM")</f>
        <v>juillet</v>
      </c>
    </row>
    <row r="19" spans="1:16" ht="28.15" x14ac:dyDescent="0.45">
      <c r="A19" s="8">
        <v>46205</v>
      </c>
      <c r="B19" s="9" t="s">
        <v>45</v>
      </c>
      <c r="C19" s="9" t="s">
        <v>39</v>
      </c>
      <c r="D19" s="9" t="s">
        <v>88</v>
      </c>
      <c r="E19" s="9" t="s">
        <v>91</v>
      </c>
      <c r="F19" s="10">
        <v>765956010</v>
      </c>
      <c r="G19" s="9" t="s">
        <v>15</v>
      </c>
      <c r="H19" s="9" t="s">
        <v>13</v>
      </c>
      <c r="I19" s="9" t="s">
        <v>16</v>
      </c>
      <c r="J19" s="9" t="s">
        <v>20</v>
      </c>
      <c r="K19" s="9" t="s">
        <v>56</v>
      </c>
      <c r="L19" s="9">
        <v>20</v>
      </c>
      <c r="M19" s="11">
        <v>9000</v>
      </c>
      <c r="N19" s="11">
        <v>180000</v>
      </c>
      <c r="O19" s="7" t="str">
        <f>"S"&amp;_xlfn.ISOWEEKNUM(Semaine_1[[#This Row],[Date]])</f>
        <v>S27</v>
      </c>
      <c r="P19" t="str">
        <f>TEXT(Semaine_1[[#This Row],[Date]],"MMMM")</f>
        <v>juillet</v>
      </c>
    </row>
    <row r="20" spans="1:16" ht="28.15" x14ac:dyDescent="0.45">
      <c r="A20" s="8">
        <v>46205</v>
      </c>
      <c r="B20" s="9" t="s">
        <v>45</v>
      </c>
      <c r="C20" s="9" t="s">
        <v>39</v>
      </c>
      <c r="D20" s="9" t="s">
        <v>92</v>
      </c>
      <c r="E20" s="9" t="s">
        <v>93</v>
      </c>
      <c r="F20" s="10">
        <v>772506388</v>
      </c>
      <c r="G20" s="9" t="s">
        <v>23</v>
      </c>
      <c r="H20" s="9" t="s">
        <v>13</v>
      </c>
      <c r="I20" s="9" t="s">
        <v>16</v>
      </c>
      <c r="J20" s="9" t="s">
        <v>20</v>
      </c>
      <c r="K20" s="9" t="s">
        <v>56</v>
      </c>
      <c r="L20" s="9">
        <v>10</v>
      </c>
      <c r="M20" s="11">
        <v>9000</v>
      </c>
      <c r="N20" s="11">
        <v>90000</v>
      </c>
      <c r="O20" s="7" t="str">
        <f>"S"&amp;_xlfn.ISOWEEKNUM(Semaine_1[[#This Row],[Date]])</f>
        <v>S27</v>
      </c>
      <c r="P20" t="str">
        <f>TEXT(Semaine_1[[#This Row],[Date]],"MMMM")</f>
        <v>juillet</v>
      </c>
    </row>
    <row r="21" spans="1:16" ht="28.15" x14ac:dyDescent="0.45">
      <c r="A21" s="8">
        <v>46205</v>
      </c>
      <c r="B21" s="9" t="s">
        <v>45</v>
      </c>
      <c r="C21" s="9" t="s">
        <v>39</v>
      </c>
      <c r="D21" s="9" t="s">
        <v>88</v>
      </c>
      <c r="E21" s="9" t="s">
        <v>89</v>
      </c>
      <c r="F21" s="10">
        <v>775903069</v>
      </c>
      <c r="G21" s="9" t="s">
        <v>23</v>
      </c>
      <c r="H21" s="9" t="s">
        <v>13</v>
      </c>
      <c r="I21" s="9" t="s">
        <v>16</v>
      </c>
      <c r="J21" s="9" t="s">
        <v>20</v>
      </c>
      <c r="K21" s="9" t="s">
        <v>74</v>
      </c>
      <c r="L21" s="9">
        <v>1</v>
      </c>
      <c r="M21" s="11">
        <v>17500</v>
      </c>
      <c r="N21" s="11">
        <v>17500</v>
      </c>
      <c r="O21" s="7" t="str">
        <f>"S"&amp;_xlfn.ISOWEEKNUM(Semaine_1[[#This Row],[Date]])</f>
        <v>S27</v>
      </c>
      <c r="P21" t="str">
        <f>TEXT(Semaine_1[[#This Row],[Date]],"MMMM")</f>
        <v>juillet</v>
      </c>
    </row>
    <row r="22" spans="1:16" ht="28.15" x14ac:dyDescent="0.45">
      <c r="A22" s="8">
        <v>46205</v>
      </c>
      <c r="B22" s="9" t="s">
        <v>45</v>
      </c>
      <c r="C22" s="9" t="s">
        <v>39</v>
      </c>
      <c r="D22" s="9" t="s">
        <v>88</v>
      </c>
      <c r="E22" s="9" t="s">
        <v>89</v>
      </c>
      <c r="F22" s="10">
        <v>775903069</v>
      </c>
      <c r="G22" s="9" t="s">
        <v>23</v>
      </c>
      <c r="H22" s="9" t="s">
        <v>13</v>
      </c>
      <c r="I22" s="9" t="s">
        <v>16</v>
      </c>
      <c r="J22" s="9" t="s">
        <v>20</v>
      </c>
      <c r="K22" s="9" t="s">
        <v>75</v>
      </c>
      <c r="L22" s="9">
        <v>1</v>
      </c>
      <c r="M22" s="11">
        <v>33500</v>
      </c>
      <c r="N22" s="11">
        <v>33500</v>
      </c>
      <c r="O22" s="7" t="str">
        <f>"S"&amp;_xlfn.ISOWEEKNUM(Semaine_1[[#This Row],[Date]])</f>
        <v>S27</v>
      </c>
      <c r="P22" t="str">
        <f>TEXT(Semaine_1[[#This Row],[Date]],"MMMM")</f>
        <v>juillet</v>
      </c>
    </row>
    <row r="23" spans="1:16" ht="28.15" x14ac:dyDescent="0.45">
      <c r="A23" s="8">
        <v>46205</v>
      </c>
      <c r="B23" s="9" t="s">
        <v>45</v>
      </c>
      <c r="C23" s="9" t="s">
        <v>39</v>
      </c>
      <c r="D23" s="9" t="s">
        <v>88</v>
      </c>
      <c r="E23" s="9" t="s">
        <v>89</v>
      </c>
      <c r="F23" s="10">
        <v>775903069</v>
      </c>
      <c r="G23" s="9" t="s">
        <v>23</v>
      </c>
      <c r="H23" s="9" t="s">
        <v>13</v>
      </c>
      <c r="I23" s="9" t="s">
        <v>16</v>
      </c>
      <c r="J23" s="9" t="s">
        <v>20</v>
      </c>
      <c r="K23" s="9" t="s">
        <v>32</v>
      </c>
      <c r="L23" s="9">
        <v>10</v>
      </c>
      <c r="M23" s="11">
        <v>6000</v>
      </c>
      <c r="N23" s="11">
        <v>60000</v>
      </c>
      <c r="O23" s="7" t="str">
        <f>"S"&amp;_xlfn.ISOWEEKNUM(Semaine_1[[#This Row],[Date]])</f>
        <v>S27</v>
      </c>
      <c r="P23" t="str">
        <f>TEXT(Semaine_1[[#This Row],[Date]],"MMMM")</f>
        <v>juillet</v>
      </c>
    </row>
    <row r="24" spans="1:16" ht="55.9" x14ac:dyDescent="0.45">
      <c r="A24" s="8">
        <v>46204</v>
      </c>
      <c r="B24" s="9" t="s">
        <v>33</v>
      </c>
      <c r="C24" s="9" t="s">
        <v>29</v>
      </c>
      <c r="D24" s="9" t="s">
        <v>47</v>
      </c>
      <c r="E24" s="9" t="s">
        <v>94</v>
      </c>
      <c r="F24" s="10">
        <v>770217868</v>
      </c>
      <c r="G24" s="9" t="s">
        <v>15</v>
      </c>
      <c r="H24" s="9" t="s">
        <v>13</v>
      </c>
      <c r="I24" s="9" t="s">
        <v>16</v>
      </c>
      <c r="J24" s="9" t="s">
        <v>95</v>
      </c>
      <c r="K24" s="9" t="s">
        <v>26</v>
      </c>
      <c r="L24" s="9">
        <v>50</v>
      </c>
      <c r="M24" s="11">
        <v>26000</v>
      </c>
      <c r="N24" s="11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ht="55.9" x14ac:dyDescent="0.45">
      <c r="A25" s="8">
        <v>46204</v>
      </c>
      <c r="B25" s="9" t="s">
        <v>33</v>
      </c>
      <c r="C25" s="9" t="s">
        <v>29</v>
      </c>
      <c r="D25" s="9" t="s">
        <v>47</v>
      </c>
      <c r="E25" s="9" t="s">
        <v>94</v>
      </c>
      <c r="F25" s="10">
        <v>770217868</v>
      </c>
      <c r="G25" s="9" t="s">
        <v>15</v>
      </c>
      <c r="H25" s="9" t="s">
        <v>13</v>
      </c>
      <c r="I25" s="9" t="s">
        <v>16</v>
      </c>
      <c r="J25" s="9" t="s">
        <v>95</v>
      </c>
      <c r="K25" s="9" t="s">
        <v>36</v>
      </c>
      <c r="L25" s="9">
        <v>25</v>
      </c>
      <c r="M25" s="11">
        <v>19500</v>
      </c>
      <c r="N25" s="11">
        <v>487500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46203</v>
      </c>
      <c r="B26" s="9" t="s">
        <v>34</v>
      </c>
      <c r="C26" s="9" t="s">
        <v>21</v>
      </c>
      <c r="D26" s="9" t="s">
        <v>51</v>
      </c>
      <c r="E26" s="9" t="s">
        <v>96</v>
      </c>
      <c r="F26" s="10">
        <v>774216339</v>
      </c>
      <c r="G26" s="9" t="s">
        <v>15</v>
      </c>
      <c r="H26" s="9" t="s">
        <v>13</v>
      </c>
      <c r="I26" s="9" t="s">
        <v>16</v>
      </c>
      <c r="J26" s="9" t="s">
        <v>20</v>
      </c>
      <c r="K26" s="9" t="s">
        <v>26</v>
      </c>
      <c r="L26" s="9">
        <v>25</v>
      </c>
      <c r="M26" s="11">
        <v>26000</v>
      </c>
      <c r="N26" s="11">
        <v>650000</v>
      </c>
      <c r="O26" s="7" t="str">
        <f>"S"&amp;_xlfn.ISOWEEKNUM(Semaine_1[[#This Row],[Date]])</f>
        <v>S27</v>
      </c>
      <c r="P26" t="str">
        <f>TEXT(Semaine_1[[#This Row],[Date]],"MMMM")</f>
        <v>juin</v>
      </c>
    </row>
    <row r="27" spans="1:16" x14ac:dyDescent="0.45">
      <c r="A27" s="12">
        <v>46213</v>
      </c>
      <c r="B27" s="13" t="s">
        <v>41</v>
      </c>
      <c r="C27" s="13" t="s">
        <v>24</v>
      </c>
      <c r="D27" s="13" t="s">
        <v>61</v>
      </c>
      <c r="E27" s="13" t="s">
        <v>68</v>
      </c>
      <c r="F27" s="14">
        <v>775630094</v>
      </c>
      <c r="G27" s="13" t="s">
        <v>15</v>
      </c>
      <c r="H27" s="13" t="s">
        <v>13</v>
      </c>
      <c r="I27" s="13" t="s">
        <v>16</v>
      </c>
      <c r="J27" s="13" t="s">
        <v>73</v>
      </c>
      <c r="K27" s="13" t="s">
        <v>97</v>
      </c>
      <c r="L27" s="13">
        <v>1</v>
      </c>
      <c r="M27" s="15">
        <v>11500</v>
      </c>
      <c r="N27" s="15">
        <v>11500</v>
      </c>
      <c r="O27" s="16" t="str">
        <f>"S"&amp;_xlfn.ISOWEEKNUM(Semaine_1[[#This Row],[Date]])</f>
        <v>S28</v>
      </c>
      <c r="P27" s="17" t="str">
        <f>TEXT(Semaine_1[[#This Row],[Date]],"MMMM")</f>
        <v>juillet</v>
      </c>
    </row>
    <row r="28" spans="1:16" x14ac:dyDescent="0.45">
      <c r="A28" s="12">
        <v>46213</v>
      </c>
      <c r="B28" s="13" t="s">
        <v>41</v>
      </c>
      <c r="C28" s="13" t="s">
        <v>24</v>
      </c>
      <c r="D28" s="13" t="s">
        <v>61</v>
      </c>
      <c r="E28" s="13" t="s">
        <v>68</v>
      </c>
      <c r="F28" s="14">
        <v>775630094</v>
      </c>
      <c r="G28" s="13" t="s">
        <v>15</v>
      </c>
      <c r="H28" s="13" t="s">
        <v>13</v>
      </c>
      <c r="I28" s="13" t="s">
        <v>16</v>
      </c>
      <c r="J28" s="13" t="s">
        <v>73</v>
      </c>
      <c r="K28" s="13" t="s">
        <v>58</v>
      </c>
      <c r="L28" s="13">
        <v>2</v>
      </c>
      <c r="M28" s="15">
        <v>15500</v>
      </c>
      <c r="N28" s="15">
        <v>31000</v>
      </c>
      <c r="O28" s="16" t="str">
        <f>"S"&amp;_xlfn.ISOWEEKNUM(Semaine_1[[#This Row],[Date]])</f>
        <v>S28</v>
      </c>
      <c r="P28" s="17" t="str">
        <f>TEXT(Semaine_1[[#This Row],[Date]],"MMMM")</f>
        <v>juillet</v>
      </c>
    </row>
    <row r="29" spans="1:16" x14ac:dyDescent="0.45">
      <c r="A29" s="12">
        <v>46213</v>
      </c>
      <c r="B29" s="13" t="s">
        <v>41</v>
      </c>
      <c r="C29" s="13" t="s">
        <v>24</v>
      </c>
      <c r="D29" s="13" t="s">
        <v>61</v>
      </c>
      <c r="E29" s="13" t="s">
        <v>68</v>
      </c>
      <c r="F29" s="14">
        <v>775630094</v>
      </c>
      <c r="G29" s="13" t="s">
        <v>15</v>
      </c>
      <c r="H29" s="13" t="s">
        <v>13</v>
      </c>
      <c r="I29" s="13" t="s">
        <v>16</v>
      </c>
      <c r="J29" s="13" t="s">
        <v>73</v>
      </c>
      <c r="K29" s="13" t="s">
        <v>36</v>
      </c>
      <c r="L29" s="13">
        <v>4</v>
      </c>
      <c r="M29" s="15">
        <v>19500</v>
      </c>
      <c r="N29" s="15">
        <v>78000</v>
      </c>
      <c r="O29" s="16" t="str">
        <f>"S"&amp;_xlfn.ISOWEEKNUM(Semaine_1[[#This Row],[Date]])</f>
        <v>S28</v>
      </c>
      <c r="P29" s="17" t="str">
        <f>TEXT(Semaine_1[[#This Row],[Date]],"MMMM")</f>
        <v>juillet</v>
      </c>
    </row>
    <row r="30" spans="1:16" x14ac:dyDescent="0.45">
      <c r="A30" s="12">
        <v>46213</v>
      </c>
      <c r="B30" s="13" t="s">
        <v>41</v>
      </c>
      <c r="C30" s="13" t="s">
        <v>24</v>
      </c>
      <c r="D30" s="13" t="s">
        <v>61</v>
      </c>
      <c r="E30" s="13" t="s">
        <v>68</v>
      </c>
      <c r="F30" s="14">
        <v>775630094</v>
      </c>
      <c r="G30" s="13" t="s">
        <v>15</v>
      </c>
      <c r="H30" s="13" t="s">
        <v>13</v>
      </c>
      <c r="I30" s="13" t="s">
        <v>16</v>
      </c>
      <c r="J30" s="13" t="s">
        <v>73</v>
      </c>
      <c r="K30" s="13" t="s">
        <v>64</v>
      </c>
      <c r="L30" s="13">
        <v>25</v>
      </c>
      <c r="M30" s="15">
        <v>28000</v>
      </c>
      <c r="N30" s="15">
        <v>700000</v>
      </c>
      <c r="O30" s="16" t="str">
        <f>"S"&amp;_xlfn.ISOWEEKNUM(Semaine_1[[#This Row],[Date]])</f>
        <v>S28</v>
      </c>
      <c r="P30" s="17" t="str">
        <f>TEXT(Semaine_1[[#This Row],[Date]],"MMMM")</f>
        <v>juillet</v>
      </c>
    </row>
    <row r="31" spans="1:16" x14ac:dyDescent="0.45">
      <c r="A31" s="12">
        <v>46213</v>
      </c>
      <c r="B31" s="13" t="s">
        <v>41</v>
      </c>
      <c r="C31" s="13" t="s">
        <v>24</v>
      </c>
      <c r="D31" s="13" t="s">
        <v>61</v>
      </c>
      <c r="E31" s="13" t="s">
        <v>98</v>
      </c>
      <c r="F31" s="14">
        <v>781985160</v>
      </c>
      <c r="G31" s="13" t="s">
        <v>15</v>
      </c>
      <c r="H31" s="13" t="s">
        <v>13</v>
      </c>
      <c r="I31" s="13" t="s">
        <v>16</v>
      </c>
      <c r="J31" s="13" t="s">
        <v>73</v>
      </c>
      <c r="K31" s="13" t="s">
        <v>26</v>
      </c>
      <c r="L31" s="13">
        <v>25</v>
      </c>
      <c r="M31" s="15">
        <v>26000</v>
      </c>
      <c r="N31" s="15">
        <v>650000</v>
      </c>
      <c r="O31" s="16" t="str">
        <f>"S"&amp;_xlfn.ISOWEEKNUM(Semaine_1[[#This Row],[Date]])</f>
        <v>S28</v>
      </c>
      <c r="P31" s="17" t="str">
        <f>TEXT(Semaine_1[[#This Row],[Date]],"MMMM")</f>
        <v>juillet</v>
      </c>
    </row>
    <row r="32" spans="1:16" ht="28.15" x14ac:dyDescent="0.45">
      <c r="A32" s="12">
        <v>46213</v>
      </c>
      <c r="B32" s="13" t="s">
        <v>43</v>
      </c>
      <c r="C32" s="13" t="s">
        <v>27</v>
      </c>
      <c r="D32" s="13" t="s">
        <v>48</v>
      </c>
      <c r="E32" s="13" t="s">
        <v>49</v>
      </c>
      <c r="F32" s="14">
        <v>775586819</v>
      </c>
      <c r="G32" s="13" t="s">
        <v>23</v>
      </c>
      <c r="H32" s="13" t="s">
        <v>13</v>
      </c>
      <c r="I32" s="13" t="s">
        <v>16</v>
      </c>
      <c r="J32" s="13"/>
      <c r="K32" s="13" t="s">
        <v>26</v>
      </c>
      <c r="L32" s="13">
        <v>100</v>
      </c>
      <c r="M32" s="15">
        <v>26000</v>
      </c>
      <c r="N32" s="15">
        <v>2600000</v>
      </c>
      <c r="O32" s="16" t="str">
        <f>"S"&amp;_xlfn.ISOWEEKNUM(Semaine_1[[#This Row],[Date]])</f>
        <v>S28</v>
      </c>
      <c r="P32" s="17" t="str">
        <f>TEXT(Semaine_1[[#This Row],[Date]],"MMMM")</f>
        <v>juillet</v>
      </c>
    </row>
    <row r="33" spans="1:16" ht="28.15" x14ac:dyDescent="0.45">
      <c r="A33" s="12">
        <v>46212</v>
      </c>
      <c r="B33" s="13" t="s">
        <v>40</v>
      </c>
      <c r="C33" s="13" t="s">
        <v>14</v>
      </c>
      <c r="D33" s="13" t="s">
        <v>67</v>
      </c>
      <c r="E33" s="13" t="s">
        <v>99</v>
      </c>
      <c r="F33" s="14">
        <v>775661455</v>
      </c>
      <c r="G33" s="13" t="s">
        <v>15</v>
      </c>
      <c r="H33" s="13" t="s">
        <v>13</v>
      </c>
      <c r="I33" s="13" t="s">
        <v>16</v>
      </c>
      <c r="J33" s="13" t="s">
        <v>73</v>
      </c>
      <c r="K33" s="13" t="s">
        <v>26</v>
      </c>
      <c r="L33" s="13">
        <v>25</v>
      </c>
      <c r="M33" s="15">
        <v>26000</v>
      </c>
      <c r="N33" s="15">
        <v>650000</v>
      </c>
      <c r="O33" s="16" t="str">
        <f>"S"&amp;_xlfn.ISOWEEKNUM(Semaine_1[[#This Row],[Date]])</f>
        <v>S28</v>
      </c>
      <c r="P33" s="17" t="str">
        <f>TEXT(Semaine_1[[#This Row],[Date]],"MMMM")</f>
        <v>juillet</v>
      </c>
    </row>
    <row r="34" spans="1:16" x14ac:dyDescent="0.45">
      <c r="A34" s="12">
        <v>46212</v>
      </c>
      <c r="B34" s="13" t="s">
        <v>33</v>
      </c>
      <c r="C34" s="13" t="s">
        <v>29</v>
      </c>
      <c r="D34" s="13" t="s">
        <v>60</v>
      </c>
      <c r="E34" s="13" t="s">
        <v>76</v>
      </c>
      <c r="F34" s="14">
        <v>774993694</v>
      </c>
      <c r="G34" s="13" t="s">
        <v>15</v>
      </c>
      <c r="H34" s="13" t="s">
        <v>13</v>
      </c>
      <c r="I34" s="13" t="s">
        <v>16</v>
      </c>
      <c r="J34" s="13" t="s">
        <v>73</v>
      </c>
      <c r="K34" s="13" t="s">
        <v>26</v>
      </c>
      <c r="L34" s="13">
        <v>100</v>
      </c>
      <c r="M34" s="15">
        <v>26000</v>
      </c>
      <c r="N34" s="15">
        <v>2600000</v>
      </c>
      <c r="O34" s="16" t="str">
        <f>"S"&amp;_xlfn.ISOWEEKNUM(Semaine_1[[#This Row],[Date]])</f>
        <v>S28</v>
      </c>
      <c r="P34" s="17" t="str">
        <f>TEXT(Semaine_1[[#This Row],[Date]],"MMMM")</f>
        <v>juillet</v>
      </c>
    </row>
    <row r="35" spans="1:16" ht="28.15" x14ac:dyDescent="0.45">
      <c r="A35" s="12">
        <v>46212</v>
      </c>
      <c r="B35" s="13" t="s">
        <v>42</v>
      </c>
      <c r="C35" s="13" t="s">
        <v>22</v>
      </c>
      <c r="D35" s="13" t="s">
        <v>66</v>
      </c>
      <c r="E35" s="13" t="s">
        <v>100</v>
      </c>
      <c r="F35" s="14">
        <v>776175166</v>
      </c>
      <c r="G35" s="13" t="s">
        <v>15</v>
      </c>
      <c r="H35" s="13" t="s">
        <v>13</v>
      </c>
      <c r="I35" s="13" t="s">
        <v>16</v>
      </c>
      <c r="J35" s="13" t="s">
        <v>73</v>
      </c>
      <c r="K35" s="13"/>
      <c r="L35" s="13"/>
      <c r="M35" s="15"/>
      <c r="N35" s="15"/>
      <c r="O35" s="16" t="str">
        <f>"S"&amp;_xlfn.ISOWEEKNUM(Semaine_1[[#This Row],[Date]])</f>
        <v>S28</v>
      </c>
      <c r="P35" s="17" t="str">
        <f>TEXT(Semaine_1[[#This Row],[Date]],"MMMM")</f>
        <v>juillet</v>
      </c>
    </row>
    <row r="36" spans="1:16" ht="28.15" x14ac:dyDescent="0.45">
      <c r="A36" s="12">
        <v>46212</v>
      </c>
      <c r="B36" s="13" t="s">
        <v>40</v>
      </c>
      <c r="C36" s="13" t="s">
        <v>14</v>
      </c>
      <c r="D36" s="13" t="s">
        <v>71</v>
      </c>
      <c r="E36" s="13" t="s">
        <v>101</v>
      </c>
      <c r="F36" s="14">
        <v>775177806</v>
      </c>
      <c r="G36" s="13" t="s">
        <v>15</v>
      </c>
      <c r="H36" s="13" t="s">
        <v>13</v>
      </c>
      <c r="I36" s="13" t="s">
        <v>16</v>
      </c>
      <c r="J36" s="13" t="s">
        <v>73</v>
      </c>
      <c r="K36" s="13" t="s">
        <v>36</v>
      </c>
      <c r="L36" s="13">
        <v>3</v>
      </c>
      <c r="M36" s="15">
        <v>19500</v>
      </c>
      <c r="N36" s="15">
        <v>58500</v>
      </c>
      <c r="O36" s="16" t="str">
        <f>"S"&amp;_xlfn.ISOWEEKNUM(Semaine_1[[#This Row],[Date]])</f>
        <v>S28</v>
      </c>
      <c r="P36" s="17" t="str">
        <f>TEXT(Semaine_1[[#This Row],[Date]],"MMMM")</f>
        <v>juillet</v>
      </c>
    </row>
    <row r="37" spans="1:16" ht="28.15" x14ac:dyDescent="0.45">
      <c r="A37" s="12">
        <v>46212</v>
      </c>
      <c r="B37" s="13" t="s">
        <v>40</v>
      </c>
      <c r="C37" s="13" t="s">
        <v>14</v>
      </c>
      <c r="D37" s="13" t="s">
        <v>67</v>
      </c>
      <c r="E37" s="13" t="s">
        <v>102</v>
      </c>
      <c r="F37" s="14">
        <v>776345625</v>
      </c>
      <c r="G37" s="13" t="s">
        <v>15</v>
      </c>
      <c r="H37" s="13" t="s">
        <v>13</v>
      </c>
      <c r="I37" s="13" t="s">
        <v>16</v>
      </c>
      <c r="J37" s="13" t="s">
        <v>73</v>
      </c>
      <c r="K37" s="13" t="s">
        <v>97</v>
      </c>
      <c r="L37" s="13">
        <v>1</v>
      </c>
      <c r="M37" s="15">
        <v>11500</v>
      </c>
      <c r="N37" s="15">
        <v>11500</v>
      </c>
      <c r="O37" s="16" t="str">
        <f>"S"&amp;_xlfn.ISOWEEKNUM(Semaine_1[[#This Row],[Date]])</f>
        <v>S28</v>
      </c>
      <c r="P37" s="17" t="str">
        <f>TEXT(Semaine_1[[#This Row],[Date]],"MMMM")</f>
        <v>juillet</v>
      </c>
    </row>
    <row r="38" spans="1:16" ht="28.15" x14ac:dyDescent="0.45">
      <c r="A38" s="12">
        <v>46211</v>
      </c>
      <c r="B38" s="13" t="s">
        <v>42</v>
      </c>
      <c r="C38" s="13" t="s">
        <v>22</v>
      </c>
      <c r="D38" s="13" t="s">
        <v>30</v>
      </c>
      <c r="E38" s="13" t="s">
        <v>103</v>
      </c>
      <c r="F38" s="14">
        <v>776536527</v>
      </c>
      <c r="G38" s="13" t="s">
        <v>15</v>
      </c>
      <c r="H38" s="13" t="s">
        <v>13</v>
      </c>
      <c r="I38" s="13" t="s">
        <v>16</v>
      </c>
      <c r="J38" s="13" t="s">
        <v>73</v>
      </c>
      <c r="K38" s="13" t="s">
        <v>38</v>
      </c>
      <c r="L38" s="13">
        <v>30</v>
      </c>
      <c r="M38" s="15">
        <v>9000</v>
      </c>
      <c r="N38" s="15">
        <v>270000</v>
      </c>
      <c r="O38" s="16" t="str">
        <f>"S"&amp;_xlfn.ISOWEEKNUM(Semaine_1[[#This Row],[Date]])</f>
        <v>S28</v>
      </c>
      <c r="P38" s="17" t="str">
        <f>TEXT(Semaine_1[[#This Row],[Date]],"MMMM")</f>
        <v>juillet</v>
      </c>
    </row>
    <row r="39" spans="1:16" ht="28.15" x14ac:dyDescent="0.45">
      <c r="A39" s="12">
        <v>46211</v>
      </c>
      <c r="B39" s="13" t="s">
        <v>42</v>
      </c>
      <c r="C39" s="13" t="s">
        <v>22</v>
      </c>
      <c r="D39" s="13" t="s">
        <v>104</v>
      </c>
      <c r="E39" s="13" t="s">
        <v>105</v>
      </c>
      <c r="F39" s="14">
        <v>779598695</v>
      </c>
      <c r="G39" s="13" t="s">
        <v>23</v>
      </c>
      <c r="H39" s="13" t="s">
        <v>13</v>
      </c>
      <c r="I39" s="13" t="s">
        <v>16</v>
      </c>
      <c r="J39" s="13" t="s">
        <v>73</v>
      </c>
      <c r="K39" s="13" t="s">
        <v>38</v>
      </c>
      <c r="L39" s="13">
        <v>20</v>
      </c>
      <c r="M39" s="15">
        <v>9000</v>
      </c>
      <c r="N39" s="15">
        <v>180000</v>
      </c>
      <c r="O39" s="16" t="str">
        <f>"S"&amp;_xlfn.ISOWEEKNUM(Semaine_1[[#This Row],[Date]])</f>
        <v>S28</v>
      </c>
      <c r="P39" s="17" t="str">
        <f>TEXT(Semaine_1[[#This Row],[Date]],"MMMM")</f>
        <v>juillet</v>
      </c>
    </row>
    <row r="40" spans="1:16" ht="28.15" x14ac:dyDescent="0.45">
      <c r="A40" s="12">
        <v>46211</v>
      </c>
      <c r="B40" s="13" t="s">
        <v>42</v>
      </c>
      <c r="C40" s="13" t="s">
        <v>22</v>
      </c>
      <c r="D40" s="13" t="s">
        <v>30</v>
      </c>
      <c r="E40" s="13" t="s">
        <v>86</v>
      </c>
      <c r="F40" s="14">
        <v>778657940</v>
      </c>
      <c r="G40" s="13" t="s">
        <v>15</v>
      </c>
      <c r="H40" s="13" t="s">
        <v>13</v>
      </c>
      <c r="I40" s="13" t="s">
        <v>16</v>
      </c>
      <c r="J40" s="13" t="s">
        <v>73</v>
      </c>
      <c r="K40" s="13" t="s">
        <v>56</v>
      </c>
      <c r="L40" s="13">
        <v>50</v>
      </c>
      <c r="M40" s="15">
        <v>9000</v>
      </c>
      <c r="N40" s="15">
        <v>450000</v>
      </c>
      <c r="O40" s="16" t="str">
        <f>"S"&amp;_xlfn.ISOWEEKNUM(Semaine_1[[#This Row],[Date]])</f>
        <v>S28</v>
      </c>
      <c r="P40" s="17" t="str">
        <f>TEXT(Semaine_1[[#This Row],[Date]],"MMMM")</f>
        <v>juillet</v>
      </c>
    </row>
    <row r="41" spans="1:16" ht="28.15" x14ac:dyDescent="0.45">
      <c r="A41" s="12">
        <v>46211</v>
      </c>
      <c r="B41" s="13" t="s">
        <v>40</v>
      </c>
      <c r="C41" s="13" t="s">
        <v>14</v>
      </c>
      <c r="D41" s="13" t="s">
        <v>71</v>
      </c>
      <c r="E41" s="13" t="s">
        <v>72</v>
      </c>
      <c r="F41" s="14">
        <v>770158721</v>
      </c>
      <c r="G41" s="13" t="s">
        <v>15</v>
      </c>
      <c r="H41" s="13" t="s">
        <v>13</v>
      </c>
      <c r="I41" s="13" t="s">
        <v>16</v>
      </c>
      <c r="J41" s="13" t="s">
        <v>73</v>
      </c>
      <c r="K41" s="13" t="s">
        <v>58</v>
      </c>
      <c r="L41" s="13">
        <v>25</v>
      </c>
      <c r="M41" s="15">
        <v>15500</v>
      </c>
      <c r="N41" s="15">
        <v>387500</v>
      </c>
      <c r="O41" s="16" t="str">
        <f>"S"&amp;_xlfn.ISOWEEKNUM(Semaine_1[[#This Row],[Date]])</f>
        <v>S28</v>
      </c>
      <c r="P41" s="17" t="str">
        <f>TEXT(Semaine_1[[#This Row],[Date]],"MMMM")</f>
        <v>juillet</v>
      </c>
    </row>
    <row r="42" spans="1:16" ht="28.15" x14ac:dyDescent="0.45">
      <c r="A42" s="12">
        <v>46210</v>
      </c>
      <c r="B42" s="13" t="s">
        <v>40</v>
      </c>
      <c r="C42" s="13" t="s">
        <v>14</v>
      </c>
      <c r="D42" s="13" t="s">
        <v>70</v>
      </c>
      <c r="E42" s="13" t="s">
        <v>106</v>
      </c>
      <c r="F42" s="14">
        <v>772377240</v>
      </c>
      <c r="G42" s="13" t="s">
        <v>15</v>
      </c>
      <c r="H42" s="13" t="s">
        <v>13</v>
      </c>
      <c r="I42" s="13" t="s">
        <v>16</v>
      </c>
      <c r="J42" s="13" t="s">
        <v>73</v>
      </c>
      <c r="K42" s="13" t="s">
        <v>36</v>
      </c>
      <c r="L42" s="13">
        <v>25</v>
      </c>
      <c r="M42" s="15">
        <v>19500</v>
      </c>
      <c r="N42" s="15">
        <v>487500</v>
      </c>
      <c r="O42" s="16" t="str">
        <f>"S"&amp;_xlfn.ISOWEEKNUM(Semaine_1[[#This Row],[Date]])</f>
        <v>S28</v>
      </c>
      <c r="P42" s="17" t="str">
        <f>TEXT(Semaine_1[[#This Row],[Date]],"MMMM")</f>
        <v>juillet</v>
      </c>
    </row>
    <row r="43" spans="1:16" ht="28.15" x14ac:dyDescent="0.45">
      <c r="A43" s="12">
        <v>46209</v>
      </c>
      <c r="B43" s="13" t="s">
        <v>40</v>
      </c>
      <c r="C43" s="13" t="s">
        <v>14</v>
      </c>
      <c r="D43" s="13" t="s">
        <v>71</v>
      </c>
      <c r="E43" s="13" t="s">
        <v>107</v>
      </c>
      <c r="F43" s="14">
        <v>775602981</v>
      </c>
      <c r="G43" s="13" t="s">
        <v>15</v>
      </c>
      <c r="H43" s="13" t="s">
        <v>13</v>
      </c>
      <c r="I43" s="13" t="s">
        <v>16</v>
      </c>
      <c r="J43" s="13" t="s">
        <v>73</v>
      </c>
      <c r="K43" s="13" t="s">
        <v>32</v>
      </c>
      <c r="L43" s="13">
        <v>25</v>
      </c>
      <c r="M43" s="15">
        <v>6000</v>
      </c>
      <c r="N43" s="15">
        <v>150000</v>
      </c>
      <c r="O43" s="16" t="str">
        <f>"S"&amp;_xlfn.ISOWEEKNUM(Semaine_1[[#This Row],[Date]])</f>
        <v>S28</v>
      </c>
      <c r="P43" s="17" t="str">
        <f>TEXT(Semaine_1[[#This Row],[Date]],"MMMM")</f>
        <v>juillet</v>
      </c>
    </row>
    <row r="44" spans="1:16" ht="28.15" x14ac:dyDescent="0.45">
      <c r="A44" s="12">
        <v>46212</v>
      </c>
      <c r="B44" s="13" t="s">
        <v>33</v>
      </c>
      <c r="C44" s="13" t="s">
        <v>29</v>
      </c>
      <c r="D44" s="13" t="s">
        <v>29</v>
      </c>
      <c r="E44" s="13" t="s">
        <v>80</v>
      </c>
      <c r="F44" s="14">
        <v>773482683</v>
      </c>
      <c r="G44" s="13" t="s">
        <v>23</v>
      </c>
      <c r="H44" s="13" t="s">
        <v>13</v>
      </c>
      <c r="I44" s="13" t="s">
        <v>16</v>
      </c>
      <c r="J44" s="13" t="s">
        <v>108</v>
      </c>
      <c r="K44" s="13" t="s">
        <v>56</v>
      </c>
      <c r="L44" s="13">
        <v>10</v>
      </c>
      <c r="M44" s="15">
        <v>9000</v>
      </c>
      <c r="N44" s="15">
        <v>90000</v>
      </c>
      <c r="O44" s="16" t="str">
        <f>"S"&amp;_xlfn.ISOWEEKNUM(Semaine_1[[#This Row],[Date]])</f>
        <v>S28</v>
      </c>
      <c r="P44" s="17" t="str">
        <f>TEXT(Semaine_1[[#This Row],[Date]],"MMMM")</f>
        <v>juillet</v>
      </c>
    </row>
    <row r="45" spans="1:16" x14ac:dyDescent="0.45">
      <c r="A45" s="12">
        <v>46212</v>
      </c>
      <c r="B45" s="13" t="s">
        <v>33</v>
      </c>
      <c r="C45" s="13" t="s">
        <v>29</v>
      </c>
      <c r="D45" s="13" t="s">
        <v>29</v>
      </c>
      <c r="E45" s="13" t="s">
        <v>37</v>
      </c>
      <c r="F45" s="14">
        <v>773122246</v>
      </c>
      <c r="G45" s="13" t="s">
        <v>15</v>
      </c>
      <c r="H45" s="13" t="s">
        <v>13</v>
      </c>
      <c r="I45" s="13" t="s">
        <v>16</v>
      </c>
      <c r="J45" s="13" t="s">
        <v>109</v>
      </c>
      <c r="K45" s="13" t="s">
        <v>26</v>
      </c>
      <c r="L45" s="13">
        <v>25</v>
      </c>
      <c r="M45" s="15">
        <v>26000</v>
      </c>
      <c r="N45" s="15">
        <v>650000</v>
      </c>
      <c r="O45" s="16" t="str">
        <f>"S"&amp;_xlfn.ISOWEEKNUM(Semaine_1[[#This Row],[Date]])</f>
        <v>S28</v>
      </c>
      <c r="P45" s="17" t="str">
        <f>TEXT(Semaine_1[[#This Row],[Date]],"MMMM")</f>
        <v>juillet</v>
      </c>
    </row>
    <row r="46" spans="1:16" x14ac:dyDescent="0.45">
      <c r="A46" s="12">
        <v>46212</v>
      </c>
      <c r="B46" s="13" t="s">
        <v>41</v>
      </c>
      <c r="C46" s="13" t="s">
        <v>24</v>
      </c>
      <c r="D46" s="13" t="s">
        <v>61</v>
      </c>
      <c r="E46" s="13" t="s">
        <v>62</v>
      </c>
      <c r="F46" s="14">
        <v>772131614</v>
      </c>
      <c r="G46" s="13" t="s">
        <v>15</v>
      </c>
      <c r="H46" s="13" t="s">
        <v>13</v>
      </c>
      <c r="I46" s="13" t="s">
        <v>16</v>
      </c>
      <c r="J46" s="13" t="s">
        <v>110</v>
      </c>
      <c r="K46" s="13" t="s">
        <v>38</v>
      </c>
      <c r="L46" s="13">
        <v>5</v>
      </c>
      <c r="M46" s="15">
        <v>9000</v>
      </c>
      <c r="N46" s="15">
        <v>45000</v>
      </c>
      <c r="O46" s="16" t="str">
        <f>"S"&amp;_xlfn.ISOWEEKNUM(Semaine_1[[#This Row],[Date]])</f>
        <v>S28</v>
      </c>
      <c r="P46" s="17" t="str">
        <f>TEXT(Semaine_1[[#This Row],[Date]],"MMMM")</f>
        <v>juillet</v>
      </c>
    </row>
    <row r="47" spans="1:16" x14ac:dyDescent="0.45">
      <c r="A47" s="12">
        <v>46210</v>
      </c>
      <c r="B47" s="13" t="s">
        <v>41</v>
      </c>
      <c r="C47" s="13" t="s">
        <v>24</v>
      </c>
      <c r="D47" s="13" t="s">
        <v>50</v>
      </c>
      <c r="E47" s="13" t="s">
        <v>52</v>
      </c>
      <c r="F47" s="14">
        <v>775894237</v>
      </c>
      <c r="G47" s="13" t="s">
        <v>15</v>
      </c>
      <c r="H47" s="13" t="s">
        <v>13</v>
      </c>
      <c r="I47" s="13" t="s">
        <v>16</v>
      </c>
      <c r="J47" s="13" t="s">
        <v>65</v>
      </c>
      <c r="K47" s="13" t="s">
        <v>38</v>
      </c>
      <c r="L47" s="13">
        <v>5</v>
      </c>
      <c r="M47" s="15">
        <v>9000</v>
      </c>
      <c r="N47" s="15">
        <v>45000</v>
      </c>
      <c r="O47" s="16" t="str">
        <f>"S"&amp;_xlfn.ISOWEEKNUM(Semaine_1[[#This Row],[Date]])</f>
        <v>S28</v>
      </c>
      <c r="P47" s="17" t="str">
        <f>TEXT(Semaine_1[[#This Row],[Date]],"MMMM")</f>
        <v>juillet</v>
      </c>
    </row>
    <row r="48" spans="1:16" x14ac:dyDescent="0.45">
      <c r="A48" s="12">
        <v>46210</v>
      </c>
      <c r="B48" s="13" t="s">
        <v>41</v>
      </c>
      <c r="C48" s="13" t="s">
        <v>24</v>
      </c>
      <c r="D48" s="13" t="s">
        <v>50</v>
      </c>
      <c r="E48" s="13" t="s">
        <v>52</v>
      </c>
      <c r="F48" s="14">
        <v>775894237</v>
      </c>
      <c r="G48" s="13" t="s">
        <v>15</v>
      </c>
      <c r="H48" s="13" t="s">
        <v>13</v>
      </c>
      <c r="I48" s="13" t="s">
        <v>16</v>
      </c>
      <c r="J48" s="13" t="s">
        <v>65</v>
      </c>
      <c r="K48" s="13" t="s">
        <v>57</v>
      </c>
      <c r="L48" s="13">
        <v>15</v>
      </c>
      <c r="M48" s="15">
        <v>4500</v>
      </c>
      <c r="N48" s="15">
        <v>67500</v>
      </c>
      <c r="O48" s="16" t="str">
        <f>"S"&amp;_xlfn.ISOWEEKNUM(Semaine_1[[#This Row],[Date]])</f>
        <v>S28</v>
      </c>
      <c r="P48" s="17" t="str">
        <f>TEXT(Semaine_1[[#This Row],[Date]],"MMMM")</f>
        <v>juillet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2026-07-12T02:33:54Z</dcterms:modified>
</cp:coreProperties>
</file>