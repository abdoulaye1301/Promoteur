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794A7E9-7137-4013-805A-B62EA94FC78D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4" i="2" l="1"/>
  <c r="P194" i="2"/>
  <c r="O193" i="2"/>
  <c r="P193" i="2"/>
  <c r="O192" i="2"/>
  <c r="P192" i="2"/>
  <c r="O191" i="2"/>
  <c r="P191" i="2"/>
  <c r="O190" i="2"/>
  <c r="P190" i="2"/>
  <c r="O186" i="2"/>
  <c r="O187" i="2"/>
  <c r="O188" i="2"/>
  <c r="O189" i="2"/>
  <c r="P186" i="2"/>
  <c r="P187" i="2"/>
  <c r="P188" i="2"/>
  <c r="P189" i="2"/>
  <c r="O181" i="2"/>
  <c r="O182" i="2"/>
  <c r="O183" i="2"/>
  <c r="O184" i="2"/>
  <c r="O185" i="2"/>
  <c r="P181" i="2"/>
  <c r="P182" i="2"/>
  <c r="P183" i="2"/>
  <c r="P184" i="2"/>
  <c r="P185" i="2"/>
  <c r="O180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<sst xmlns="http://schemas.openxmlformats.org/spreadsheetml/2006/main" count="1753" uniqueCount="228">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</sst>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94" totalsRowShown="0" headerRowDxfId="18" headerRowBorderDxfId="17" tableBorderDxfId="16">
  <autoFilter ref="A1:P194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94"/>
  <sheetViews>
    <sheetView tabSelected="1" topLeftCell="I174" zoomScale="79" zoomScaleNormal="79" workbookViewId="0">
      <selection activeCell="A180" sqref="A180:N19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11">
        <v>46098</v>
      </c>
      <c r="B180" s="12" t="s">
        <v>25</v>
      </c>
      <c r="C180" s="12" t="s">
        <v>26</v>
      </c>
      <c r="D180" s="12" t="s">
        <v>215</v>
      </c>
      <c r="E180" s="12" t="s">
        <v>216</v>
      </c>
      <c r="F180" s="12">
        <v>775113886</v>
      </c>
      <c r="G180" s="12" t="s">
        <v>16</v>
      </c>
      <c r="H180" s="12" t="s">
        <v>13</v>
      </c>
      <c r="I180" s="12" t="s">
        <v>17</v>
      </c>
      <c r="J180" s="12" t="s">
        <v>81</v>
      </c>
      <c r="K180" s="12" t="s">
        <v>34</v>
      </c>
      <c r="L180" s="12">
        <v>25</v>
      </c>
      <c r="M180" s="13">
        <v>9250</v>
      </c>
      <c r="N180" s="13">
        <v>231250</v>
      </c>
      <c r="O180" s="14" t="str">
        <f>"S"&amp;_xlfn.ISOWEEKNUM(Semaine_1[[#This Row],[Date]])</f>
        <v>S12</v>
      </c>
      <c r="P180" s="15" t="str">
        <f>TEXT(Semaine_1[[#This Row],[Date]],"MMMM")</f>
        <v>mars</v>
      </c>
    </row>
    <row r="181" spans="1:16" ht="28.15" x14ac:dyDescent="0.45">
      <c r="A181" s="11">
        <v>46098</v>
      </c>
      <c r="B181" s="12" t="s">
        <v>14</v>
      </c>
      <c r="C181" s="12" t="s">
        <v>15</v>
      </c>
      <c r="D181" s="12" t="s">
        <v>217</v>
      </c>
      <c r="E181" s="12" t="s">
        <v>218</v>
      </c>
      <c r="F181" s="12">
        <v>775626425</v>
      </c>
      <c r="G181" s="12" t="s">
        <v>16</v>
      </c>
      <c r="H181" s="12" t="s">
        <v>13</v>
      </c>
      <c r="I181" s="12" t="s">
        <v>17</v>
      </c>
      <c r="J181" s="12" t="s">
        <v>65</v>
      </c>
      <c r="K181" s="12" t="s">
        <v>77</v>
      </c>
      <c r="L181" s="12">
        <v>3</v>
      </c>
      <c r="M181" s="13">
        <v>18000</v>
      </c>
      <c r="N181" s="13">
        <v>54000</v>
      </c>
      <c r="O181" s="14" t="str">
        <f>"S"&amp;_xlfn.ISOWEEKNUM(Semaine_1[[#This Row],[Date]])</f>
        <v>S12</v>
      </c>
      <c r="P181" s="15" t="str">
        <f>TEXT(Semaine_1[[#This Row],[Date]],"MMMM")</f>
        <v>mars</v>
      </c>
    </row>
    <row r="182" spans="1:16" ht="28.15" x14ac:dyDescent="0.45">
      <c r="A182" s="11">
        <v>46098</v>
      </c>
      <c r="B182" s="12" t="s">
        <v>14</v>
      </c>
      <c r="C182" s="12" t="s">
        <v>15</v>
      </c>
      <c r="D182" s="12" t="s">
        <v>219</v>
      </c>
      <c r="E182" s="12" t="s">
        <v>220</v>
      </c>
      <c r="F182" s="12">
        <v>786361148</v>
      </c>
      <c r="G182" s="12" t="s">
        <v>221</v>
      </c>
      <c r="H182" s="12" t="s">
        <v>13</v>
      </c>
      <c r="I182" s="12" t="s">
        <v>17</v>
      </c>
      <c r="J182" s="12" t="s">
        <v>65</v>
      </c>
      <c r="K182" s="12" t="s">
        <v>77</v>
      </c>
      <c r="L182" s="12">
        <v>2</v>
      </c>
      <c r="M182" s="13">
        <v>18000</v>
      </c>
      <c r="N182" s="13">
        <v>36000</v>
      </c>
      <c r="O182" s="14" t="str">
        <f>"S"&amp;_xlfn.ISOWEEKNUM(Semaine_1[[#This Row],[Date]])</f>
        <v>S12</v>
      </c>
      <c r="P182" s="15" t="str">
        <f>TEXT(Semaine_1[[#This Row],[Date]],"MMMM")</f>
        <v>mars</v>
      </c>
    </row>
    <row r="183" spans="1:16" ht="28.15" x14ac:dyDescent="0.45">
      <c r="A183" s="11">
        <v>46098</v>
      </c>
      <c r="B183" s="12" t="s">
        <v>14</v>
      </c>
      <c r="C183" s="12" t="s">
        <v>15</v>
      </c>
      <c r="D183" s="12" t="s">
        <v>59</v>
      </c>
      <c r="E183" s="12" t="s">
        <v>76</v>
      </c>
      <c r="F183" s="12">
        <v>770158721</v>
      </c>
      <c r="G183" s="12" t="s">
        <v>16</v>
      </c>
      <c r="H183" s="12" t="s">
        <v>13</v>
      </c>
      <c r="I183" s="12" t="s">
        <v>17</v>
      </c>
      <c r="J183" s="12" t="s">
        <v>65</v>
      </c>
      <c r="K183" s="12" t="s">
        <v>88</v>
      </c>
      <c r="L183" s="12">
        <v>25</v>
      </c>
      <c r="M183" s="13">
        <v>18000</v>
      </c>
      <c r="N183" s="13">
        <v>450000</v>
      </c>
      <c r="O183" s="14" t="str">
        <f>"S"&amp;_xlfn.ISOWEEKNUM(Semaine_1[[#This Row],[Date]])</f>
        <v>S12</v>
      </c>
      <c r="P183" s="15" t="str">
        <f>TEXT(Semaine_1[[#This Row],[Date]],"MMMM")</f>
        <v>mars</v>
      </c>
    </row>
    <row r="184" spans="1:16" ht="28.15" x14ac:dyDescent="0.45">
      <c r="A184" s="11">
        <v>46098</v>
      </c>
      <c r="B184" s="12" t="s">
        <v>14</v>
      </c>
      <c r="C184" s="12" t="s">
        <v>15</v>
      </c>
      <c r="D184" s="12" t="s">
        <v>59</v>
      </c>
      <c r="E184" s="12" t="s">
        <v>76</v>
      </c>
      <c r="F184" s="12">
        <v>770158721</v>
      </c>
      <c r="G184" s="12" t="s">
        <v>16</v>
      </c>
      <c r="H184" s="12" t="s">
        <v>13</v>
      </c>
      <c r="I184" s="12" t="s">
        <v>17</v>
      </c>
      <c r="J184" s="12" t="s">
        <v>65</v>
      </c>
      <c r="K184" s="12" t="s">
        <v>77</v>
      </c>
      <c r="L184" s="12">
        <v>25</v>
      </c>
      <c r="M184" s="13">
        <v>18000</v>
      </c>
      <c r="N184" s="13">
        <v>450000</v>
      </c>
      <c r="O184" s="14" t="str">
        <f>"S"&amp;_xlfn.ISOWEEKNUM(Semaine_1[[#This Row],[Date]])</f>
        <v>S12</v>
      </c>
      <c r="P184" s="15" t="str">
        <f>TEXT(Semaine_1[[#This Row],[Date]],"MMMM")</f>
        <v>mars</v>
      </c>
    </row>
    <row r="185" spans="1:16" ht="28.15" x14ac:dyDescent="0.45">
      <c r="A185" s="11">
        <v>46098</v>
      </c>
      <c r="B185" s="12" t="s">
        <v>14</v>
      </c>
      <c r="C185" s="12" t="s">
        <v>15</v>
      </c>
      <c r="D185" s="12" t="s">
        <v>222</v>
      </c>
      <c r="E185" s="12" t="s">
        <v>223</v>
      </c>
      <c r="F185" s="12">
        <v>775649041</v>
      </c>
      <c r="G185" s="12" t="s">
        <v>16</v>
      </c>
      <c r="H185" s="12" t="s">
        <v>13</v>
      </c>
      <c r="I185" s="12" t="s">
        <v>17</v>
      </c>
      <c r="J185" s="12" t="s">
        <v>65</v>
      </c>
      <c r="K185" s="12" t="s">
        <v>77</v>
      </c>
      <c r="L185" s="12">
        <v>1</v>
      </c>
      <c r="M185" s="13">
        <v>18000</v>
      </c>
      <c r="N185" s="13">
        <v>18000</v>
      </c>
      <c r="O185" s="14" t="str">
        <f>"S"&amp;_xlfn.ISOWEEKNUM(Semaine_1[[#This Row],[Date]])</f>
        <v>S12</v>
      </c>
      <c r="P185" s="15" t="str">
        <f>TEXT(Semaine_1[[#This Row],[Date]],"MMMM")</f>
        <v>mars</v>
      </c>
    </row>
    <row r="186" spans="1:16" x14ac:dyDescent="0.45">
      <c r="A186" s="11">
        <v>46098</v>
      </c>
      <c r="B186" s="12" t="s">
        <v>28</v>
      </c>
      <c r="C186" s="12" t="s">
        <v>29</v>
      </c>
      <c r="D186" s="12" t="s">
        <v>224</v>
      </c>
      <c r="E186" s="12" t="s">
        <v>225</v>
      </c>
      <c r="F186" s="12">
        <v>784785900</v>
      </c>
      <c r="G186" s="12" t="s">
        <v>16</v>
      </c>
      <c r="H186" s="12" t="s">
        <v>13</v>
      </c>
      <c r="I186" s="12" t="s">
        <v>17</v>
      </c>
      <c r="J186" s="12" t="s">
        <v>21</v>
      </c>
      <c r="K186" s="12" t="s">
        <v>34</v>
      </c>
      <c r="L186" s="12">
        <v>9</v>
      </c>
      <c r="M186" s="13">
        <v>9250</v>
      </c>
      <c r="N186" s="13">
        <v>83250</v>
      </c>
      <c r="O186" s="14" t="str">
        <f>"S"&amp;_xlfn.ISOWEEKNUM(Semaine_1[[#This Row],[Date]])</f>
        <v>S12</v>
      </c>
      <c r="P186" s="15" t="str">
        <f>TEXT(Semaine_1[[#This Row],[Date]],"MMMM")</f>
        <v>mars</v>
      </c>
    </row>
    <row r="187" spans="1:16" x14ac:dyDescent="0.45">
      <c r="A187" s="11">
        <v>46098</v>
      </c>
      <c r="B187" s="12" t="s">
        <v>28</v>
      </c>
      <c r="C187" s="12" t="s">
        <v>29</v>
      </c>
      <c r="D187" s="12" t="s">
        <v>224</v>
      </c>
      <c r="E187" s="12" t="s">
        <v>225</v>
      </c>
      <c r="F187" s="12">
        <v>784785900</v>
      </c>
      <c r="G187" s="12" t="s">
        <v>16</v>
      </c>
      <c r="H187" s="12" t="s">
        <v>13</v>
      </c>
      <c r="I187" s="12" t="s">
        <v>17</v>
      </c>
      <c r="J187" s="12" t="s">
        <v>21</v>
      </c>
      <c r="K187" s="12" t="s">
        <v>36</v>
      </c>
      <c r="L187" s="12">
        <v>7</v>
      </c>
      <c r="M187" s="13">
        <v>30000</v>
      </c>
      <c r="N187" s="13">
        <v>210000</v>
      </c>
      <c r="O187" s="14" t="str">
        <f>"S"&amp;_xlfn.ISOWEEKNUM(Semaine_1[[#This Row],[Date]])</f>
        <v>S12</v>
      </c>
      <c r="P187" s="15" t="str">
        <f>TEXT(Semaine_1[[#This Row],[Date]],"MMMM")</f>
        <v>mars</v>
      </c>
    </row>
    <row r="188" spans="1:16" x14ac:dyDescent="0.45">
      <c r="A188" s="11">
        <v>46098</v>
      </c>
      <c r="B188" s="12" t="s">
        <v>28</v>
      </c>
      <c r="C188" s="12" t="s">
        <v>29</v>
      </c>
      <c r="D188" s="12" t="s">
        <v>224</v>
      </c>
      <c r="E188" s="12" t="s">
        <v>225</v>
      </c>
      <c r="F188" s="12">
        <v>784785900</v>
      </c>
      <c r="G188" s="12" t="s">
        <v>16</v>
      </c>
      <c r="H188" s="12" t="s">
        <v>13</v>
      </c>
      <c r="I188" s="12" t="s">
        <v>17</v>
      </c>
      <c r="J188" s="12" t="s">
        <v>21</v>
      </c>
      <c r="K188" s="12" t="s">
        <v>190</v>
      </c>
      <c r="L188" s="12">
        <v>4</v>
      </c>
      <c r="M188" s="13">
        <v>19500</v>
      </c>
      <c r="N188" s="13">
        <v>78000</v>
      </c>
      <c r="O188" s="14" t="str">
        <f>"S"&amp;_xlfn.ISOWEEKNUM(Semaine_1[[#This Row],[Date]])</f>
        <v>S12</v>
      </c>
      <c r="P188" s="15" t="str">
        <f>TEXT(Semaine_1[[#This Row],[Date]],"MMMM")</f>
        <v>mars</v>
      </c>
    </row>
    <row r="189" spans="1:16" x14ac:dyDescent="0.45">
      <c r="A189" s="11">
        <v>46098</v>
      </c>
      <c r="B189" s="12" t="s">
        <v>28</v>
      </c>
      <c r="C189" s="12" t="s">
        <v>29</v>
      </c>
      <c r="D189" s="12" t="s">
        <v>224</v>
      </c>
      <c r="E189" s="12" t="s">
        <v>225</v>
      </c>
      <c r="F189" s="12">
        <v>784785900</v>
      </c>
      <c r="G189" s="12" t="s">
        <v>16</v>
      </c>
      <c r="H189" s="12" t="s">
        <v>13</v>
      </c>
      <c r="I189" s="12" t="s">
        <v>17</v>
      </c>
      <c r="J189" s="12" t="s">
        <v>21</v>
      </c>
      <c r="K189" s="12" t="s">
        <v>37</v>
      </c>
      <c r="L189" s="12">
        <v>33</v>
      </c>
      <c r="M189" s="13">
        <v>26000</v>
      </c>
      <c r="N189" s="13">
        <v>858000</v>
      </c>
      <c r="O189" s="14" t="str">
        <f>"S"&amp;_xlfn.ISOWEEKNUM(Semaine_1[[#This Row],[Date]])</f>
        <v>S12</v>
      </c>
      <c r="P189" s="15" t="str">
        <f>TEXT(Semaine_1[[#This Row],[Date]],"MMMM")</f>
        <v>mars</v>
      </c>
    </row>
    <row r="190" spans="1:16" x14ac:dyDescent="0.45">
      <c r="A190" s="11">
        <v>46097</v>
      </c>
      <c r="B190" s="12" t="s">
        <v>74</v>
      </c>
      <c r="C190" s="12" t="s">
        <v>67</v>
      </c>
      <c r="D190" s="12" t="s">
        <v>67</v>
      </c>
      <c r="E190" s="12" t="s">
        <v>226</v>
      </c>
      <c r="F190" s="12">
        <v>773122246</v>
      </c>
      <c r="G190" s="12" t="s">
        <v>16</v>
      </c>
      <c r="H190" s="12" t="s">
        <v>13</v>
      </c>
      <c r="I190" s="12" t="s">
        <v>17</v>
      </c>
      <c r="J190" s="12" t="s">
        <v>104</v>
      </c>
      <c r="K190" s="12" t="s">
        <v>34</v>
      </c>
      <c r="L190" s="12">
        <v>25</v>
      </c>
      <c r="M190" s="13">
        <v>9250</v>
      </c>
      <c r="N190" s="13">
        <v>231250</v>
      </c>
      <c r="O190" s="14" t="str">
        <f>"S"&amp;_xlfn.ISOWEEKNUM(Semaine_1[[#This Row],[Date]])</f>
        <v>S12</v>
      </c>
      <c r="P190" s="15" t="str">
        <f>TEXT(Semaine_1[[#This Row],[Date]],"MMMM")</f>
        <v>mars</v>
      </c>
    </row>
    <row r="191" spans="1:16" x14ac:dyDescent="0.45">
      <c r="A191" s="11">
        <v>46097</v>
      </c>
      <c r="B191" s="12" t="s">
        <v>31</v>
      </c>
      <c r="C191" s="12" t="s">
        <v>32</v>
      </c>
      <c r="D191" s="12" t="s">
        <v>35</v>
      </c>
      <c r="E191" s="12" t="s">
        <v>182</v>
      </c>
      <c r="F191" s="12">
        <v>775544532</v>
      </c>
      <c r="G191" s="12" t="s">
        <v>30</v>
      </c>
      <c r="H191" s="12" t="s">
        <v>13</v>
      </c>
      <c r="I191" s="12" t="s">
        <v>17</v>
      </c>
      <c r="J191" s="12" t="s">
        <v>33</v>
      </c>
      <c r="K191" s="12" t="s">
        <v>37</v>
      </c>
      <c r="L191" s="12">
        <v>25</v>
      </c>
      <c r="M191" s="13">
        <v>26000</v>
      </c>
      <c r="N191" s="13">
        <v>650000</v>
      </c>
      <c r="O191" s="14" t="str">
        <f>"S"&amp;_xlfn.ISOWEEKNUM(Semaine_1[[#This Row],[Date]])</f>
        <v>S12</v>
      </c>
      <c r="P191" s="15" t="str">
        <f>TEXT(Semaine_1[[#This Row],[Date]],"MMMM")</f>
        <v>mars</v>
      </c>
    </row>
    <row r="192" spans="1:16" x14ac:dyDescent="0.45">
      <c r="A192" s="11">
        <v>46097</v>
      </c>
      <c r="B192" s="12" t="s">
        <v>31</v>
      </c>
      <c r="C192" s="12" t="s">
        <v>32</v>
      </c>
      <c r="D192" s="12" t="s">
        <v>153</v>
      </c>
      <c r="E192" s="12" t="s">
        <v>154</v>
      </c>
      <c r="F192" s="12">
        <v>775079426</v>
      </c>
      <c r="G192" s="12" t="s">
        <v>30</v>
      </c>
      <c r="H192" s="12" t="s">
        <v>13</v>
      </c>
      <c r="I192" s="12" t="s">
        <v>17</v>
      </c>
      <c r="J192" s="12" t="s">
        <v>49</v>
      </c>
      <c r="K192" s="12" t="s">
        <v>107</v>
      </c>
      <c r="L192" s="12">
        <v>1</v>
      </c>
      <c r="M192" s="13">
        <v>6000</v>
      </c>
      <c r="N192" s="13">
        <v>6000</v>
      </c>
      <c r="O192" s="14" t="str">
        <f>"S"&amp;_xlfn.ISOWEEKNUM(Semaine_1[[#This Row],[Date]])</f>
        <v>S12</v>
      </c>
      <c r="P192" s="15" t="str">
        <f>TEXT(Semaine_1[[#This Row],[Date]],"MMMM")</f>
        <v>mars</v>
      </c>
    </row>
    <row r="193" spans="1:16" x14ac:dyDescent="0.45">
      <c r="A193" s="11">
        <v>46097</v>
      </c>
      <c r="B193" s="12" t="s">
        <v>31</v>
      </c>
      <c r="C193" s="12" t="s">
        <v>32</v>
      </c>
      <c r="D193" s="12" t="s">
        <v>35</v>
      </c>
      <c r="E193" s="12" t="s">
        <v>198</v>
      </c>
      <c r="F193" s="12">
        <v>776634479</v>
      </c>
      <c r="G193" s="12" t="s">
        <v>16</v>
      </c>
      <c r="H193" s="12" t="s">
        <v>13</v>
      </c>
      <c r="I193" s="12" t="s">
        <v>17</v>
      </c>
      <c r="J193" s="12" t="s">
        <v>33</v>
      </c>
      <c r="K193" s="12" t="s">
        <v>57</v>
      </c>
      <c r="L193" s="12">
        <v>30</v>
      </c>
      <c r="M193" s="13">
        <v>54000</v>
      </c>
      <c r="N193" s="13">
        <v>1620000</v>
      </c>
      <c r="O193" s="14" t="str">
        <f>"S"&amp;_xlfn.ISOWEEKNUM(Semaine_1[[#This Row],[Date]])</f>
        <v>S12</v>
      </c>
      <c r="P193" s="15" t="str">
        <f>TEXT(Semaine_1[[#This Row],[Date]],"MMMM")</f>
        <v>mars</v>
      </c>
    </row>
    <row r="194" spans="1:16" x14ac:dyDescent="0.45">
      <c r="A194" s="11">
        <v>46099</v>
      </c>
      <c r="B194" s="12" t="s">
        <v>74</v>
      </c>
      <c r="C194" s="12" t="s">
        <v>67</v>
      </c>
      <c r="D194" s="12" t="s">
        <v>75</v>
      </c>
      <c r="E194" s="12" t="s">
        <v>227</v>
      </c>
      <c r="F194" s="12">
        <v>774993694</v>
      </c>
      <c r="G194" s="12" t="s">
        <v>16</v>
      </c>
      <c r="H194" s="12" t="s">
        <v>13</v>
      </c>
      <c r="I194" s="12" t="s">
        <v>17</v>
      </c>
      <c r="J194" s="12" t="s">
        <v>63</v>
      </c>
      <c r="K194" s="12" t="s">
        <v>37</v>
      </c>
      <c r="L194" s="12">
        <v>50</v>
      </c>
      <c r="M194" s="13">
        <v>26000</v>
      </c>
      <c r="N194" s="13">
        <v>1300000</v>
      </c>
      <c r="O194" s="14" t="str">
        <f>"S"&amp;_xlfn.ISOWEEKNUM(Semaine_1[[#This Row],[Date]])</f>
        <v>S12</v>
      </c>
      <c r="P194" s="15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2026-03-21T13:39:00Z</dcterms:modified>
</cp:coreProperties>
</file>